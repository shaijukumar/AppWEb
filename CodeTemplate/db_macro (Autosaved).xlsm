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haiju\wayooz\CodeTemplate\"/>
    </mc:Choice>
  </mc:AlternateContent>
  <bookViews>
    <workbookView xWindow="0" yWindow="0" windowWidth="16650" windowHeight="8565" firstSheet="21" activeTab="28"/>
  </bookViews>
  <sheets>
    <sheet name="Category" sheetId="3" r:id="rId1"/>
    <sheet name="page" sheetId="1" r:id="rId2"/>
    <sheet name="TestApp" sheetId="5" r:id="rId3"/>
    <sheet name="UserSupplier" sheetId="6" r:id="rId4"/>
    <sheet name="TimeTable" sheetId="7" r:id="rId5"/>
    <sheet name="OrderMaster" sheetId="8" r:id="rId6"/>
    <sheet name="OrderTransactions" sheetId="9" r:id="rId7"/>
    <sheet name="OrderAttachments" sheetId="10" r:id="rId8"/>
    <sheet name="PagePhotos" sheetId="11" r:id="rId9"/>
    <sheet name="StockCat" sheetId="13" r:id="rId10"/>
    <sheet name="StockManagemnt" sheetId="12" r:id="rId11"/>
    <sheet name="PageTag" sheetId="14" r:id="rId12"/>
    <sheet name="PageCategory" sheetId="16" r:id="rId13"/>
    <sheet name="SitePage" sheetId="15" r:id="rId14"/>
    <sheet name="AppUserRoleMaster" sheetId="21" r:id="rId15"/>
    <sheet name="AppUserRole" sheetId="17" r:id="rId16"/>
    <sheet name="AppUserAccess" sheetId="18" r:id="rId17"/>
    <sheet name="AppTableMaster" sheetId="19" r:id="rId18"/>
    <sheet name="ColumnMaster" sheetId="20" r:id="rId19"/>
    <sheet name="AppTextColData" sheetId="22" r:id="rId20"/>
    <sheet name="AppStatusList" sheetId="24" r:id="rId21"/>
    <sheet name="AppHistory" sheetId="25" r:id="rId22"/>
    <sheet name="AppConfigType" sheetId="26" r:id="rId23"/>
    <sheet name="AppConfig" sheetId="27" r:id="rId24"/>
    <sheet name="AppAction" sheetId="28" r:id="rId25"/>
    <sheet name="Sheet2" sheetId="33" r:id="rId26"/>
    <sheet name="AppDataTable" sheetId="23" r:id="rId27"/>
    <sheet name="AppFlow" sheetId="29" r:id="rId28"/>
    <sheet name="AppAttachment" sheetId="32" r:id="rId29"/>
    <sheet name="Sheet14" sheetId="31" r:id="rId30"/>
  </sheets>
  <functionGroups builtInGroupCount="18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2" l="1"/>
  <c r="C7" i="31" l="1"/>
  <c r="C8" i="31"/>
  <c r="C9" i="31"/>
  <c r="C10" i="31"/>
  <c r="C11" i="31"/>
  <c r="C6" i="31"/>
  <c r="C2" i="31"/>
  <c r="C3" i="31"/>
  <c r="C4" i="31"/>
  <c r="C5" i="31"/>
  <c r="C1" i="31"/>
  <c r="B2" i="31"/>
  <c r="B3" i="31"/>
  <c r="B4" i="31"/>
  <c r="B5" i="31"/>
  <c r="B6" i="31"/>
  <c r="B7" i="31"/>
  <c r="B8" i="31"/>
  <c r="B9" i="31"/>
  <c r="B10" i="31"/>
  <c r="B11" i="31"/>
  <c r="B1" i="31"/>
  <c r="F4" i="29"/>
  <c r="F4" i="28"/>
  <c r="F4" i="27"/>
  <c r="F4" i="26"/>
  <c r="F4" i="25"/>
  <c r="F4" i="24"/>
  <c r="E66" i="23"/>
  <c r="F66" i="23"/>
  <c r="E67" i="23"/>
  <c r="F67" i="23"/>
  <c r="E68" i="23"/>
  <c r="F68" i="23"/>
  <c r="E69" i="23"/>
  <c r="F69" i="23"/>
  <c r="E70" i="23"/>
  <c r="F70" i="23"/>
  <c r="F2" i="23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1" i="23"/>
  <c r="E21" i="23"/>
  <c r="E22" i="23"/>
  <c r="E23" i="23"/>
  <c r="E24" i="23"/>
  <c r="E25" i="23"/>
  <c r="E57" i="23"/>
  <c r="E58" i="23"/>
  <c r="E59" i="23"/>
  <c r="E60" i="23"/>
  <c r="E61" i="23"/>
  <c r="E62" i="23"/>
  <c r="E63" i="23"/>
  <c r="E64" i="23"/>
  <c r="E65" i="23"/>
  <c r="E56" i="23"/>
  <c r="E47" i="23"/>
  <c r="E48" i="23"/>
  <c r="E49" i="23"/>
  <c r="E50" i="23"/>
  <c r="E51" i="23"/>
  <c r="E52" i="23"/>
  <c r="E53" i="23"/>
  <c r="E54" i="23"/>
  <c r="E55" i="23"/>
  <c r="E46" i="23"/>
  <c r="E37" i="23"/>
  <c r="E38" i="23"/>
  <c r="E39" i="23"/>
  <c r="E40" i="23"/>
  <c r="E41" i="23"/>
  <c r="E42" i="23"/>
  <c r="E43" i="23"/>
  <c r="E44" i="23"/>
  <c r="E45" i="23"/>
  <c r="E36" i="23"/>
  <c r="E27" i="23"/>
  <c r="E28" i="23"/>
  <c r="E29" i="23"/>
  <c r="E30" i="23"/>
  <c r="E31" i="23"/>
  <c r="E32" i="23"/>
  <c r="E33" i="23"/>
  <c r="E34" i="23"/>
  <c r="E35" i="23"/>
  <c r="E26" i="23"/>
  <c r="E20" i="23"/>
  <c r="E2" i="23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1" i="23"/>
  <c r="F4" i="22"/>
  <c r="F4" i="21"/>
  <c r="F4" i="20"/>
  <c r="F4" i="19"/>
  <c r="F4" i="18"/>
  <c r="F4" i="17" l="1"/>
  <c r="F4" i="16" l="1"/>
  <c r="F4" i="15" l="1"/>
  <c r="F4" i="14"/>
  <c r="F4" i="13" l="1"/>
  <c r="F4" i="12"/>
  <c r="F4" i="11" l="1"/>
  <c r="F4" i="10" l="1"/>
  <c r="F4" i="9"/>
  <c r="F4" i="8"/>
  <c r="F4" i="7" l="1"/>
  <c r="F4" i="6"/>
  <c r="F4" i="5" l="1"/>
  <c r="L2" i="3" l="1"/>
  <c r="G15" i="3" l="1"/>
  <c r="J12" i="3"/>
  <c r="J11" i="3"/>
  <c r="J10" i="3"/>
  <c r="D10" i="3"/>
  <c r="J9" i="3"/>
  <c r="D9" i="3"/>
  <c r="J8" i="3"/>
  <c r="D8" i="3"/>
  <c r="E7" i="3"/>
  <c r="D7" i="3"/>
  <c r="D6" i="3"/>
  <c r="K2" i="3"/>
  <c r="J2" i="3"/>
  <c r="I2" i="3"/>
  <c r="H2" i="3"/>
  <c r="G2" i="3"/>
  <c r="F2" i="3"/>
  <c r="D2" i="3"/>
  <c r="G15" i="1" l="1"/>
  <c r="E7" i="1"/>
  <c r="F2" i="1"/>
  <c r="D8" i="1"/>
  <c r="D9" i="1"/>
  <c r="D10" i="1"/>
  <c r="D11" i="1"/>
  <c r="D12" i="1"/>
  <c r="D13" i="1"/>
  <c r="D7" i="1"/>
  <c r="D6" i="1"/>
  <c r="D2" i="1"/>
  <c r="L2" i="1"/>
  <c r="K2" i="1"/>
  <c r="I2" i="1"/>
  <c r="H2" i="1"/>
  <c r="G2" i="1"/>
  <c r="J2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<sst xmlns="http://schemas.openxmlformats.org/spreadsheetml/2006/main" count="2007" uniqueCount="494">
  <si>
    <t>Id</t>
  </si>
  <si>
    <t>Title</t>
  </si>
  <si>
    <t>Description</t>
  </si>
  <si>
    <t>CategoryId</t>
  </si>
  <si>
    <t>URLTitle</t>
  </si>
  <si>
    <t>PageHtml</t>
  </si>
  <si>
    <t>page</t>
  </si>
  <si>
    <t>Guid</t>
  </si>
  <si>
    <t>string</t>
  </si>
  <si>
    <t>Persistence\DataContext.cs</t>
  </si>
  <si>
    <t>create folder</t>
  </si>
  <si>
    <t xml:space="preserve">Create Controller </t>
  </si>
  <si>
    <t>Page</t>
  </si>
  <si>
    <t>Class</t>
  </si>
  <si>
    <t>Object</t>
  </si>
  <si>
    <t xml:space="preserve"> }
}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</si>
  <si>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</si>
  <si>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PageCategory</t>
  </si>
  <si>
    <t>pageCategory</t>
  </si>
  <si>
    <t>Parent</t>
  </si>
  <si>
    <t>Children</t>
  </si>
  <si>
    <t>virtual HashSet&lt;PageCategory&gt;</t>
  </si>
  <si>
    <t>virtual PageCategory</t>
  </si>
  <si>
    <t>D:\Shaiju\DotNetCore\Reactivities\docs\1</t>
  </si>
  <si>
    <t>UserSupplier</t>
  </si>
  <si>
    <t>userSupplier</t>
  </si>
  <si>
    <t xml:space="preserve">Sub file()
'CSFieldList
Let CSFieldList = ""
Let i = 7
Do While Cells(i, 2) &lt;&gt; ""
    CSFieldList = CSFieldList + Chr$(10) + Cells(i, 4)
     i = i + 1
Loop
'Constants
Let Class = Cells(1, 2)
Let Object = Cells(2, 2)
Let templatePath = Cells(2, 4)
Let appPath = Cells(1, 4)
Let FolderPath = Cells(2, 6)
'Create Folders if not exits
FolderPath = appPath &amp; "\" &amp; FolderPath
'Application Folder
On Error Resume Next
MkDir appPath
On Error GoTo 0
'API Folder
On Error Resume Next
MkDir appPath &amp; "API"
On Error GoTo 0
'Model Folder
On Error Resume Next
MkDir appPath &amp; "API\" &amp; "Model"
On Error GoTo 0
'Features Folder
On Error Resume Next
MkDir appPath &amp; "API\" &amp; "Features"
On Error GoTo 0
'Controllers Folder
On Error Resume Next
MkDir appPath &amp; "API\" &amp; "Controllers"
On Error GoTo 0
'Featur Folder
On Error Resume Next
MkDir appPath &amp; "API\" &amp; "Features\" &amp; Class
On Error GoTo 0
i = 7
'FilePath = templatePath + Cells(4, i)
'Read template File
Dim strFilename As String: strFilename = templatePath + Cells(4, i)
Dim strFileContent As String
Dim iFile As Integer: iFile = FreeFile
Open strFilename For Input As #iFile
fileContent = Input(LOF(iFile), iFile)
Close #iFile
'Update template
fileContent = Replace(fileContent, "##CSFieldList##", CSFieldList)
fileContent = Replace(fileContent, "##Class##", Class)
fileContent = Replace(fileContent, "##Object##", Object)
'Write to application file
Open appPath &amp; Cells(2, i) For Output As #1
Print #1, fileContent
Close #1
Cells(20, i) = fileContent
'    Dim appPath As String
'
'
'
'    FolderPath = appPath &amp; "\" &amp; FolderPath
'
'    On Error Resume Next
'    MkDir FolderPath
'    On Error GoTo 0
'
'
'    For i = 7 To 12
'        filePath = appPath &amp; "\" &amp; Cells(2, i)
'        Open filePath For Output As #1
'
'        fileContent = Cells(15, i)
'        Print #1, fileContent
'        Close #1
'    Next i
'
'    MsgBox ("Done")
End Sub
</t>
  </si>
  <si>
    <t>Field</t>
  </si>
  <si>
    <t>Data Type</t>
  </si>
  <si>
    <t>Required</t>
  </si>
  <si>
    <t>Yes</t>
  </si>
  <si>
    <t>TemplatePath</t>
  </si>
  <si>
    <t>D:\Git\CodeTemplate</t>
  </si>
  <si>
    <t>D:\Git\B2B\B2bApi</t>
  </si>
  <si>
    <t>API Proj Path</t>
  </si>
  <si>
    <t>Mobile Proj Path</t>
  </si>
  <si>
    <t>Web Proj Path</t>
  </si>
  <si>
    <t>Created</t>
  </si>
  <si>
    <t>File path</t>
  </si>
  <si>
    <t>Column1</t>
  </si>
  <si>
    <t>TitleField</t>
  </si>
  <si>
    <t>D:\Git\CodeTemplate\Test\WebApp</t>
  </si>
  <si>
    <t>D:\Git\B2B\B2bApp</t>
  </si>
  <si>
    <t>JS Datatype</t>
  </si>
  <si>
    <t>D:\Git\B2B\B2bApi\API\Model\TestApp.cs</t>
  </si>
  <si>
    <t>D:\Git\B2B\B2bApi\API\Features\TestApp\TestAppDto.cs</t>
  </si>
  <si>
    <t>D:\Git\B2B\B2bApi\API\Features\TestApp\List.cs</t>
  </si>
  <si>
    <t>D:\Git\B2B\B2bApi\API\Features\TestApp\Details.cs</t>
  </si>
  <si>
    <t>D:\Git\B2B\B2bApi\API\Features\TestApp\Create.cs</t>
  </si>
  <si>
    <t>D:\Git\B2B\B2bApi\API\Features\TestApp\Edit.cs</t>
  </si>
  <si>
    <t>D:\Git\B2B\B2bApi\API\Features\TestApp\Delete.cs</t>
  </si>
  <si>
    <t>D:\Git\B2B\B2bApi\API\Controllers\TestAppController.cs</t>
  </si>
  <si>
    <t>D:\Git\B2B\B2bApi\API\Features\TestApp\MappingProfile.cs</t>
  </si>
  <si>
    <t>D:\Git\B2B\B2bApp\app\screens\TestApp\TestApp.ts</t>
  </si>
  <si>
    <t>D:\Git\B2B\B2bApp\app\screens\TestApp\TestAppStore.ts</t>
  </si>
  <si>
    <t>D:\Git\B2B\B2bApp\app\screens\TestApp\TestAppListing.tsx</t>
  </si>
  <si>
    <t>D:\Git\B2B\B2bApp\app\screens\TestApp\TestAppEdit.tsx</t>
  </si>
  <si>
    <t>Updated</t>
  </si>
  <si>
    <t>D:\Git\B2B\B2bApi\API\Data\DataContext.cs</t>
  </si>
  <si>
    <t>D:\Git\B2B\B2bApp\app\Navigation\NavigationMain.tsx</t>
  </si>
  <si>
    <t>Supplier</t>
  </si>
  <si>
    <t xml:space="preserve">AppUser </t>
  </si>
  <si>
    <t>JSFiled</t>
  </si>
  <si>
    <t>Period</t>
  </si>
  <si>
    <t>Start Time</t>
  </si>
  <si>
    <t>End Time</t>
  </si>
  <si>
    <t xml:space="preserve">Subject </t>
  </si>
  <si>
    <t>DateTime</t>
  </si>
  <si>
    <t>Reseller</t>
  </si>
  <si>
    <t>Catalog</t>
  </si>
  <si>
    <t>Qty</t>
  </si>
  <si>
    <t>number</t>
  </si>
  <si>
    <t>Size</t>
  </si>
  <si>
    <t>Color</t>
  </si>
  <si>
    <t>ShippingAddress</t>
  </si>
  <si>
    <t>BillingAddress</t>
  </si>
  <si>
    <t>Status</t>
  </si>
  <si>
    <t>TimeStamp</t>
  </si>
  <si>
    <t>Action</t>
  </si>
  <si>
    <t>Comment</t>
  </si>
  <si>
    <t>OrderTransactions</t>
  </si>
  <si>
    <t>orderTransactions</t>
  </si>
  <si>
    <t>OrderMaster</t>
  </si>
  <si>
    <t>orderMaster</t>
  </si>
  <si>
    <t>Attachments</t>
  </si>
  <si>
    <t>OrderAttachments</t>
  </si>
  <si>
    <t>Url</t>
  </si>
  <si>
    <t>AttachmentType</t>
  </si>
  <si>
    <t>orderAttachments</t>
  </si>
  <si>
    <t>JS Field</t>
  </si>
  <si>
    <t>D:\Git\B2B\B2bApi\API\Model\OrderAttachments.cs</t>
  </si>
  <si>
    <t>D:\Git\B2B\B2bApi\API\Features\OrderAttachments\OrderAttachmentsDto.cs</t>
  </si>
  <si>
    <t>D:\Git\B2B\B2bApi\API\Features\OrderAttachments\List.cs</t>
  </si>
  <si>
    <t>D:\Git\B2B\B2bApi\API\Features\OrderAttachments\Details.cs</t>
  </si>
  <si>
    <t>D:\Git\B2B\B2bApi\API\Features\OrderAttachments\Create.cs</t>
  </si>
  <si>
    <t>D:\Git\B2B\B2bApi\API\Features\OrderAttachments\Edit.cs</t>
  </si>
  <si>
    <t>D:\Git\B2B\B2bApi\API\Features\OrderAttachments\Delete.cs</t>
  </si>
  <si>
    <t>D:\Git\B2B\B2bApi\API\Controllers\OrderAttachmentsController.cs</t>
  </si>
  <si>
    <t>D:\Git\B2B\B2bApi\API\Features\OrderAttachments\MappingProfile.cs</t>
  </si>
  <si>
    <t>D:\Git\B2B\B2bApp\app\features\OrderAttachments\OrderAttachments.ts</t>
  </si>
  <si>
    <t>D:\Git\B2B\B2bApp\app\features\OrderAttachments\OrderAttachmentsStore.ts</t>
  </si>
  <si>
    <t>D:\Git\B2B\B2bApp\app\features\OrderAttachments\OrderAttachmentsListing.tsx</t>
  </si>
  <si>
    <t>D:\Git\B2B\B2bApp\app\features\OrderAttachments\OrderAttachmentsEdit.tsx</t>
  </si>
  <si>
    <t>D:\Git\B2B\B2bApi\app\common\data\rootStore.ts</t>
  </si>
  <si>
    <t>virtual AppUser</t>
  </si>
  <si>
    <t>virtual Catalog</t>
  </si>
  <si>
    <t>Transactions</t>
  </si>
  <si>
    <t>JS Datatype2</t>
  </si>
  <si>
    <t>IOrderAttachments[]</t>
  </si>
  <si>
    <t>D:\Git\B2B\B2bApi\API\Model\OrderTransactions.cs</t>
  </si>
  <si>
    <t>D:\Git\B2B\B2bApi\API\Features\OrderTransactions\OrderTransactionsDto.cs</t>
  </si>
  <si>
    <t>D:\Git\B2B\B2bApi\API\Features\OrderTransactions\List.cs</t>
  </si>
  <si>
    <t>D:\Git\B2B\B2bApi\API\Features\OrderTransactions\Details.cs</t>
  </si>
  <si>
    <t>D:\Git\B2B\B2bApi\API\Features\OrderTransactions\Create.cs</t>
  </si>
  <si>
    <t>D:\Git\B2B\B2bApi\API\Features\OrderTransactions\Edit.cs</t>
  </si>
  <si>
    <t>D:\Git\B2B\B2bApi\API\Features\OrderTransactions\Delete.cs</t>
  </si>
  <si>
    <t>D:\Git\B2B\B2bApi\API\Controllers\OrderTransactionsController.cs</t>
  </si>
  <si>
    <t>D:\Git\B2B\B2bApi\API\Features\OrderTransactions\MappingProfile.cs</t>
  </si>
  <si>
    <t>D:\Git\B2B\B2bApp\app\features\OrderTransactions\OrderTransactions.ts</t>
  </si>
  <si>
    <t>D:\Git\B2B\B2bApp\app\features\OrderTransactions\OrderTransactionsStore.ts</t>
  </si>
  <si>
    <t>IOrderTransactions[]</t>
  </si>
  <si>
    <t>virtual ICollection&lt;OrderAttachments&gt;</t>
  </si>
  <si>
    <t>virtual ICollection&lt;OrderTransactions&gt;</t>
  </si>
  <si>
    <t>D:\Git\B2B\B2bApi\API\Model\OrderMaster.cs</t>
  </si>
  <si>
    <t>D:\Git\B2B\B2bApi\API\Features\OrderMaster\OrderMasterDto.cs</t>
  </si>
  <si>
    <t>D:\Git\B2B\B2bApi\API\Features\OrderMaster\List.cs</t>
  </si>
  <si>
    <t>D:\Git\B2B\B2bApi\API\Features\OrderMaster\Details.cs</t>
  </si>
  <si>
    <t>D:\Git\B2B\B2bApi\API\Features\OrderMaster\Create.cs</t>
  </si>
  <si>
    <t>D:\Git\B2B\B2bApi\API\Features\OrderMaster\Edit.cs</t>
  </si>
  <si>
    <t>D:\Git\B2B\B2bApi\API\Features\OrderMaster\Delete.cs</t>
  </si>
  <si>
    <t>D:\Git\B2B\B2bApi\API\Controllers\OrderMasterController.cs</t>
  </si>
  <si>
    <t>D:\Git\B2B\B2bApi\API\Features\OrderMaster\MappingProfile.cs</t>
  </si>
  <si>
    <t>D:\Git\B2B\B2bApp\app\features\OrderMaster\OrderMaster.ts</t>
  </si>
  <si>
    <t>D:\Git\B2B\B2bApp\app\features\OrderMaster\OrderMasterStore.ts</t>
  </si>
  <si>
    <t>int</t>
  </si>
  <si>
    <t xml:space="preserve"> </t>
  </si>
  <si>
    <t>SP Proj Path</t>
  </si>
  <si>
    <t>D:\Git\SpfxReactTest\SpfxReactTest\src\webparts\shoppingList</t>
  </si>
  <si>
    <t>SP List Title</t>
  </si>
  <si>
    <t>SP WP Name</t>
  </si>
  <si>
    <t>Shopping</t>
  </si>
  <si>
    <t>Test</t>
  </si>
  <si>
    <t>PagePhotos</t>
  </si>
  <si>
    <t>pagePhotos</t>
  </si>
  <si>
    <t>D:\Git\B2B\B2bApi\API\Model\PagePhotos.cs</t>
  </si>
  <si>
    <t>D:\Git\B2B\B2bApi\API\Features\PagePhotos\PagePhotosDto.cs</t>
  </si>
  <si>
    <t>D:\Git\B2B\B2bApi\API\Features\PagePhotos\List.cs</t>
  </si>
  <si>
    <t>D:\Git\B2B\B2bApi\API\Features\PagePhotos\Details.cs</t>
  </si>
  <si>
    <t>D:\Git\B2B\B2bApi\API\Features\PagePhotos\Create.cs</t>
  </si>
  <si>
    <t>D:\Git\B2B\B2bApi\API\Features\PagePhotos\Edit.cs</t>
  </si>
  <si>
    <t>D:\Git\B2B\B2bApi\API\Features\PagePhotos\Delete.cs</t>
  </si>
  <si>
    <t>D:\Git\B2B\B2bApi\API\Controllers\PagePhotosController.cs</t>
  </si>
  <si>
    <t>D:\Git\B2B\B2bApi\API\Features\PagePhotos\MappingProfile.cs</t>
  </si>
  <si>
    <t>StockCat</t>
  </si>
  <si>
    <t>stockCat</t>
  </si>
  <si>
    <t>StockManagemnt</t>
  </si>
  <si>
    <t>Category</t>
  </si>
  <si>
    <t>virtual StockCat</t>
  </si>
  <si>
    <t>QtyType</t>
  </si>
  <si>
    <t>RequiredStock</t>
  </si>
  <si>
    <t>CurrentStock</t>
  </si>
  <si>
    <t>D:\Git\client-web</t>
  </si>
  <si>
    <t>D:\Git\B2B\B2bApi\API\Model\StockCat.cs</t>
  </si>
  <si>
    <t>D:\Git\B2B\B2bApi\API\Features\StockCat\StockCatDto.cs</t>
  </si>
  <si>
    <t>D:\Git\B2B\B2bApi\API\Features\StockCat\List.cs</t>
  </si>
  <si>
    <t>D:\Git\B2B\B2bApi\API\Features\StockCat\Details.cs</t>
  </si>
  <si>
    <t>D:\Git\B2B\B2bApi\API\Features\StockCat\Create.cs</t>
  </si>
  <si>
    <t>D:\Git\B2B\B2bApi\API\Features\StockCat\Edit.cs</t>
  </si>
  <si>
    <t>D:\Git\B2B\B2bApi\API\Features\StockCat\Delete.cs</t>
  </si>
  <si>
    <t>D:\Git\B2B\B2bApi\API\Controllers\StockCatController.cs</t>
  </si>
  <si>
    <t>D:\Git\B2B\B2bApi\API\Features\StockCat\MappingProfile.cs</t>
  </si>
  <si>
    <t>D:\Git\client-web\src\features\StockCat\StockCat.ts</t>
  </si>
  <si>
    <t>D:\Git\client-web\src\features\StockCat\StockCatStore.ts</t>
  </si>
  <si>
    <t>D:\Git\client-web\src\features\StockCat\StockCatEdit.tsx</t>
  </si>
  <si>
    <t>D:\Git\client-web\src\features\StockCat\StockCatList.tsx</t>
  </si>
  <si>
    <t>D:\Git\B2B\B2bApi\API\Model\StockManagemnt.cs</t>
  </si>
  <si>
    <t>D:\Git\B2B\B2bApi\API\Features\StockManagemnt\StockManagemntDto.cs</t>
  </si>
  <si>
    <t>D:\Git\B2B\B2bApi\API\Features\StockManagemnt\List.cs</t>
  </si>
  <si>
    <t>D:\Git\B2B\B2bApi\API\Features\StockManagemnt\Details.cs</t>
  </si>
  <si>
    <t>D:\Git\B2B\B2bApi\API\Features\StockManagemnt\Create.cs</t>
  </si>
  <si>
    <t>D:\Git\B2B\B2bApi\API\Features\StockManagemnt\Edit.cs</t>
  </si>
  <si>
    <t>D:\Git\B2B\B2bApi\API\Features\StockManagemnt\Delete.cs</t>
  </si>
  <si>
    <t>D:\Git\B2B\B2bApi\API\Controllers\StockManagemntController.cs</t>
  </si>
  <si>
    <t>D:\Git\B2B\B2bApi\API\Features\StockManagemnt\MappingProfile.cs</t>
  </si>
  <si>
    <t>D:\Git\client-web\src\features\StockManagemnt\StockManagemnt.ts</t>
  </si>
  <si>
    <t>D:\Git\client-web\src\features\StockManagemnt\StockManagemntStore.ts</t>
  </si>
  <si>
    <t>D:\Git\client-web\src\features\StockManagemnt\StockManagemntEdit.tsx</t>
  </si>
  <si>
    <t>D:\Git\client-web\src\features\StockManagemnt\StockManagemntList.tsx</t>
  </si>
  <si>
    <t>stockManagemnt</t>
  </si>
  <si>
    <t>D:\Git\client-web\src\app\layouts\App.tsx</t>
  </si>
  <si>
    <t>PageTag</t>
  </si>
  <si>
    <t>pageTag</t>
  </si>
  <si>
    <t>C:\shaiju\proj\DotNetReact\wayooz\CodeTemplate</t>
  </si>
  <si>
    <t>C:\shaiju\proj\DotNetReact\wayooz\</t>
  </si>
  <si>
    <t>C:\shaiju\proj\DotNetReact\wayooz\client-app</t>
  </si>
  <si>
    <t>C:\shaiju\proj\DotNetReact\wayooz\Domain\PageTag.cs</t>
  </si>
  <si>
    <t>C:\shaiju\proj\DotNetReact\wayooz\Application\PageTag\PageTagDto.cs</t>
  </si>
  <si>
    <t>C:\shaiju\proj\DotNetReact\wayooz\Application\PageTag\List.cs</t>
  </si>
  <si>
    <t>C:\shaiju\proj\DotNetReact\wayooz\Application\PageTag\Details.cs</t>
  </si>
  <si>
    <t>C:\shaiju\proj\DotNetReact\wayooz\Application\PageTag\Create.cs</t>
  </si>
  <si>
    <t>C:\shaiju\proj\DotNetReact\wayooz\Application\PageTag\Edit.cs</t>
  </si>
  <si>
    <t>C:\shaiju\proj\DotNetReact\wayooz\Application\PageTag\Delete.cs</t>
  </si>
  <si>
    <t>C:\shaiju\proj\DotNetReact\wayooz\API\Controllers\PageTagController.cs</t>
  </si>
  <si>
    <t>C:\shaiju\proj\DotNetReact\wayooz\Application\PageTag\MappingProfile.cs</t>
  </si>
  <si>
    <t>C:\shaiju\proj\DotNetReact\wayooz\client-app\src\features\PageTag\PageTag.ts</t>
  </si>
  <si>
    <t>C:\shaiju\proj\DotNetReact\wayooz\client-app\src\features\PageTag\PageTagStore.ts</t>
  </si>
  <si>
    <t>C:\shaiju\proj\DotNetReact\wayooz\client-app\src\features\PageTag\PageTagEdit.tsx</t>
  </si>
  <si>
    <t>C:\shaiju\proj\DotNetReact\wayooz\client-app\src\features\PageTag\PageTagList.tsx</t>
  </si>
  <si>
    <t>C:\shaiju\proj\DotNetReact\wayooz\Persistence\DataContext.cs</t>
  </si>
  <si>
    <t>C:\shaiju\proj\DotNetReact\wayooz\client-app\src\app\layout\App.tsx</t>
  </si>
  <si>
    <t>SitePage</t>
  </si>
  <si>
    <t>sitePage</t>
  </si>
  <si>
    <t>Tags</t>
  </si>
  <si>
    <t>virtual ICollection&lt;StockCats&gt;</t>
  </si>
  <si>
    <t>IPageTag[]</t>
  </si>
  <si>
    <t>virtual ICollection&lt;PageTag&gt;</t>
  </si>
  <si>
    <t>C:\shaiju\proj\DotNetReact\wayooz\Domain\SitePage.cs</t>
  </si>
  <si>
    <t>C:\shaiju\proj\DotNetReact\wayooz\Application\SitePage\SitePageDto.cs</t>
  </si>
  <si>
    <t>C:\shaiju\proj\DotNetReact\wayooz\Application\SitePage\List.cs</t>
  </si>
  <si>
    <t>C:\shaiju\proj\DotNetReact\wayooz\Application\SitePage\Details.cs</t>
  </si>
  <si>
    <t>C:\shaiju\proj\DotNetReact\wayooz\Application\SitePage\Create.cs</t>
  </si>
  <si>
    <t>C:\shaiju\proj\DotNetReact\wayooz\Application\SitePage\Edit.cs</t>
  </si>
  <si>
    <t>C:\shaiju\proj\DotNetReact\wayooz\Application\SitePage\Delete.cs</t>
  </si>
  <si>
    <t>C:\shaiju\proj\DotNetReact\wayooz\API\Controllers\SitePageController.cs</t>
  </si>
  <si>
    <t>C:\shaiju\proj\DotNetReact\wayooz\Application\SitePage\MappingProfile.cs</t>
  </si>
  <si>
    <t>C:\shaiju\proj\DotNetReact\wayooz\client-app\src\features\SitePage\SitePage.ts</t>
  </si>
  <si>
    <t>C:\shaiju\proj\DotNetReact\wayooz\client-app\src\features\SitePage\SitePageStore.ts</t>
  </si>
  <si>
    <t>C:\shaiju\proj\DotNetReact\wayooz\client-app\src\features\SitePage\SitePageEdit.tsx</t>
  </si>
  <si>
    <t>C:\shaiju\proj\DotNetReact\wayooz\client-app\src\features\SitePage\SitePageList.tsx</t>
  </si>
  <si>
    <t>Pid</t>
  </si>
  <si>
    <t>Prop1</t>
  </si>
  <si>
    <t>Prop2</t>
  </si>
  <si>
    <t>Prop3</t>
  </si>
  <si>
    <t>Prop4</t>
  </si>
  <si>
    <t>C:\shaiju\proj\DotNetReact\wayooz\Domain\PageCategory.cs</t>
  </si>
  <si>
    <t>C:\shaiju\proj\DotNetReact\wayooz\Application\PageCategory\PageCategoryDto.cs</t>
  </si>
  <si>
    <t>C:\shaiju\proj\DotNetReact\wayooz\Application\PageCategory\List.cs</t>
  </si>
  <si>
    <t>C:\shaiju\proj\DotNetReact\wayooz\Application\PageCategory\Details.cs</t>
  </si>
  <si>
    <t>C:\shaiju\proj\DotNetReact\wayooz\Application\PageCategory\Create.cs</t>
  </si>
  <si>
    <t>C:\shaiju\proj\DotNetReact\wayooz\Application\PageCategory\Edit.cs</t>
  </si>
  <si>
    <t>C:\shaiju\proj\DotNetReact\wayooz\Application\PageCategory\Delete.cs</t>
  </si>
  <si>
    <t>C:\shaiju\proj\DotNetReact\wayooz\API\Controllers\PageCategoryController.cs</t>
  </si>
  <si>
    <t>C:\shaiju\proj\DotNetReact\wayooz\Application\PageCategory\MappingProfile.cs</t>
  </si>
  <si>
    <t>C:\shaiju\proj\DotNetReact\wayooz\client-app\src\features\PageCategory\PageCategory.ts</t>
  </si>
  <si>
    <t>C:\shaiju\proj\DotNetReact\wayooz\client-app\src\features\PageCategory\PageCategoryStore.ts</t>
  </si>
  <si>
    <t>C:\shaiju\proj\DotNetReact\wayooz\client-app\src\features\PageCategory\PageCategoryEdit.tsx</t>
  </si>
  <si>
    <t>C:\shaiju\proj\DotNetReact\wayooz\client-app\src\features\PageCategory\PageCategoryList.tsx</t>
  </si>
  <si>
    <t>C:\Shaiju\wayooz\CodeTemplate</t>
  </si>
  <si>
    <t>C:\Shaiju\wayooz\client-app</t>
  </si>
  <si>
    <t>C:\Shaiju\wayooz\</t>
  </si>
  <si>
    <t>C:\Shaiju\wayooz</t>
  </si>
  <si>
    <t>C:\Shaiju\wayooz\Persistence\DataContext.cs</t>
  </si>
  <si>
    <t>C:\Shaiju\wayooz\client-app\src\app\layout\App.tsx</t>
  </si>
  <si>
    <t>AppUserRole</t>
  </si>
  <si>
    <t>appUserRole</t>
  </si>
  <si>
    <t>C:\Shaiju\wayooz\Domain\AppUserRole.cs</t>
  </si>
  <si>
    <t>C:\Shaiju\wayooz\Application\AppUserRole\AppUserRoleDto.cs</t>
  </si>
  <si>
    <t>C:\Shaiju\wayooz\Application\AppUserRole\List.cs</t>
  </si>
  <si>
    <t>C:\Shaiju\wayooz\Application\AppUserRole\Details.cs</t>
  </si>
  <si>
    <t>C:\Shaiju\wayooz\Application\AppUserRole\Create.cs</t>
  </si>
  <si>
    <t>C:\Shaiju\wayooz\Application\AppUserRole\Edit.cs</t>
  </si>
  <si>
    <t>C:\Shaiju\wayooz\Application\AppUserRole\Delete.cs</t>
  </si>
  <si>
    <t>C:\Shaiju\wayooz\API\Controllers\AppUserRoleController.cs</t>
  </si>
  <si>
    <t>C:\Shaiju\wayooz\Application\AppUserRole\MappingProfile.cs</t>
  </si>
  <si>
    <t>C:\Shaiju\wayooz\client-app\src\features\AppUserRole\AppUserRole.ts</t>
  </si>
  <si>
    <t>C:\Shaiju\wayooz\client-app\src\features\AppUserRole\AppUserRoleStore.ts</t>
  </si>
  <si>
    <t>C:\Shaiju\wayooz\client-app\src\features\AppUserRole\AppUserRoleEdit.tsx</t>
  </si>
  <si>
    <t>C:\Shaiju\wayooz\client-app\src\features\AppUserRole\AppUserRoleList.tsx</t>
  </si>
  <si>
    <t>UserAccess</t>
  </si>
  <si>
    <t>AppUserAccess</t>
  </si>
  <si>
    <t>C:\Shaiju\wayooz\Domain\AppUserAccess.cs</t>
  </si>
  <si>
    <t>C:\Shaiju\wayooz\Application\AppUserAccess\AppUserAccessDto.cs</t>
  </si>
  <si>
    <t>C:\Shaiju\wayooz\Application\AppUserAccess\List.cs</t>
  </si>
  <si>
    <t>C:\Shaiju\wayooz\Application\AppUserAccess\Details.cs</t>
  </si>
  <si>
    <t>C:\Shaiju\wayooz\Application\AppUserAccess\Create.cs</t>
  </si>
  <si>
    <t>C:\Shaiju\wayooz\Application\AppUserAccess\Edit.cs</t>
  </si>
  <si>
    <t>C:\Shaiju\wayooz\Application\AppUserAccess\Delete.cs</t>
  </si>
  <si>
    <t>C:\Shaiju\wayooz\API\Controllers\AppUserAccessController.cs</t>
  </si>
  <si>
    <t>C:\Shaiju\wayooz\Application\AppUserAccess\MappingProfile.cs</t>
  </si>
  <si>
    <t>C:\Shaiju\wayooz\client-app\src\features\AppUserAccess\AppUserAccess.ts</t>
  </si>
  <si>
    <t>C:\Shaiju\wayooz\client-app\src\features\AppUserAccess\AppUserAccessStore.ts</t>
  </si>
  <si>
    <t>C:\Shaiju\wayooz\client-app\src\features\AppUserAccess\AppUserAccessEdit.tsx</t>
  </si>
  <si>
    <t>C:\Shaiju\wayooz\client-app\src\features\AppUserAccess\AppUserAccessList.tsx</t>
  </si>
  <si>
    <t>appUserAccess</t>
  </si>
  <si>
    <t>AppTableMaster</t>
  </si>
  <si>
    <t>appTableMaster</t>
  </si>
  <si>
    <t>C:\Shaiju\wayooz\Domain\AppTableMaster.cs</t>
  </si>
  <si>
    <t>C:\Shaiju\wayooz\Application\AppTableMaster\AppTableMasterDto.cs</t>
  </si>
  <si>
    <t>C:\Shaiju\wayooz\Application\AppTableMaster\List.cs</t>
  </si>
  <si>
    <t>C:\Shaiju\wayooz\Application\AppTableMaster\Details.cs</t>
  </si>
  <si>
    <t>C:\Shaiju\wayooz\Application\AppTableMaster\Create.cs</t>
  </si>
  <si>
    <t>C:\Shaiju\wayooz\Application\AppTableMaster\Edit.cs</t>
  </si>
  <si>
    <t>C:\Shaiju\wayooz\Application\AppTableMaster\Delete.cs</t>
  </si>
  <si>
    <t>C:\Shaiju\wayooz\API\Controllers\AppTableMasterController.cs</t>
  </si>
  <si>
    <t>C:\Shaiju\wayooz\Application\AppTableMaster\MappingProfile.cs</t>
  </si>
  <si>
    <t>C:\Shaiju\wayooz\client-app\src\features\AppTableMaster\AppTableMaster.ts</t>
  </si>
  <si>
    <t>C:\Shaiju\wayooz\client-app\src\features\AppTableMaster\AppTableMasterStore.ts</t>
  </si>
  <si>
    <t>C:\Shaiju\wayooz\client-app\src\features\AppTableMaster\AppTableMasterEdit.tsx</t>
  </si>
  <si>
    <t>C:\Shaiju\wayooz\client-app\src\features\AppTableMaster\AppTableMasterList.tsx</t>
  </si>
  <si>
    <t>AppColumnMaster</t>
  </si>
  <si>
    <t>appColumnMaster</t>
  </si>
  <si>
    <t>TableID</t>
  </si>
  <si>
    <t>Type</t>
  </si>
  <si>
    <t>C:\Shaiju\wayooz\Domain\AppColumnMaster.cs</t>
  </si>
  <si>
    <t>C:\Shaiju\wayooz\Application\AppColumnMaster\AppColumnMasterDto.cs</t>
  </si>
  <si>
    <t>C:\Shaiju\wayooz\Application\AppColumnMaster\List.cs</t>
  </si>
  <si>
    <t>C:\Shaiju\wayooz\Application\AppColumnMaster\Details.cs</t>
  </si>
  <si>
    <t>C:\Shaiju\wayooz\Application\AppColumnMaster\Create.cs</t>
  </si>
  <si>
    <t>C:\Shaiju\wayooz\Application\AppColumnMaster\Edit.cs</t>
  </si>
  <si>
    <t>C:\Shaiju\wayooz\Application\AppColumnMaster\Delete.cs</t>
  </si>
  <si>
    <t>C:\Shaiju\wayooz\API\Controllers\AppColumnMasterController.cs</t>
  </si>
  <si>
    <t>C:\Shaiju\wayooz\Application\AppColumnMaster\MappingProfile.cs</t>
  </si>
  <si>
    <t>C:\Shaiju\wayooz\client-app\src\features\AppColumnMaster\AppColumnMaster.ts</t>
  </si>
  <si>
    <t>C:\Shaiju\wayooz\client-app\src\features\AppColumnMaster\AppColumnMasterStore.ts</t>
  </si>
  <si>
    <t>C:\Shaiju\wayooz\client-app\src\features\AppColumnMaster\AppColumnMasterEdit.tsx</t>
  </si>
  <si>
    <t>C:\Shaiju\wayooz\client-app\src\features\AppColumnMaster\AppColumnMasterList.tsx</t>
  </si>
  <si>
    <t>UserId</t>
  </si>
  <si>
    <t>AppUserRoleMasterId</t>
  </si>
  <si>
    <t>AppUserRoleMaster</t>
  </si>
  <si>
    <t>appUserRoleMaster</t>
  </si>
  <si>
    <t>C:\Shaiju\wayooz\Domain\AppUserRoleMaster.cs</t>
  </si>
  <si>
    <t>C:\Shaiju\wayooz\Application\AppUserRoleMaster\AppUserRoleMasterDto.cs</t>
  </si>
  <si>
    <t>C:\Shaiju\wayooz\Application\AppUserRoleMaster\List.cs</t>
  </si>
  <si>
    <t>C:\Shaiju\wayooz\Application\AppUserRoleMaster\Details.cs</t>
  </si>
  <si>
    <t>C:\Shaiju\wayooz\Application\AppUserRoleMaster\Create.cs</t>
  </si>
  <si>
    <t>C:\Shaiju\wayooz\Application\AppUserRoleMaster\Edit.cs</t>
  </si>
  <si>
    <t>C:\Shaiju\wayooz\Application\AppUserRoleMaster\Delete.cs</t>
  </si>
  <si>
    <t>C:\Shaiju\wayooz\API\Controllers\AppUserRoleMasterController.cs</t>
  </si>
  <si>
    <t>C:\Shaiju\wayooz\Application\AppUserRoleMaster\MappingProfile.cs</t>
  </si>
  <si>
    <t>C:\Shaiju\wayooz\client-app\src\features\AppUserRoleMaster\AppUserRoleMaster.ts</t>
  </si>
  <si>
    <t>C:\Shaiju\wayooz\client-app\src\features\AppUserRoleMaster\AppUserRoleMasterStore.ts</t>
  </si>
  <si>
    <t>C:\Shaiju\wayooz\client-app\src\features\AppUserRoleMaster\AppUserRoleMasterEdit.tsx</t>
  </si>
  <si>
    <t>C:\Shaiju\wayooz\client-app\src\features\AppUserRoleMaster\AppUserRoleMasterList.tsx</t>
  </si>
  <si>
    <t>ActionScript</t>
  </si>
  <si>
    <t>Value</t>
  </si>
  <si>
    <t>bool</t>
  </si>
  <si>
    <t>AppData</t>
  </si>
  <si>
    <t>appData</t>
  </si>
  <si>
    <t>Col</t>
  </si>
  <si>
    <t>Val</t>
  </si>
  <si>
    <t>C:\Shaiju\wayooz\Domain\AppData.cs</t>
  </si>
  <si>
    <t>C:\Shaiju\wayooz\Application\AppData\AppDataDto.cs</t>
  </si>
  <si>
    <t>C:\Shaiju\wayooz\Application\AppData\List.cs</t>
  </si>
  <si>
    <t>C:\Shaiju\wayooz\Application\AppData\Details.cs</t>
  </si>
  <si>
    <t>C:\Shaiju\wayooz\Application\AppData\Create.cs</t>
  </si>
  <si>
    <t>C:\Shaiju\wayooz\Application\AppData\Edit.cs</t>
  </si>
  <si>
    <t>C:\Shaiju\wayooz\Application\AppData\Delete.cs</t>
  </si>
  <si>
    <t>C:\Shaiju\wayooz\API\Controllers\AppDataController.cs</t>
  </si>
  <si>
    <t>C:\Shaiju\wayooz\Application\AppData\MappingProfile.cs</t>
  </si>
  <si>
    <t>C:\Shaiju\wayooz\client-app\src\features\AppData\AppData.ts</t>
  </si>
  <si>
    <t>C:\Shaiju\wayooz\client-app\src\features\AppData\AppDataStore.ts</t>
  </si>
  <si>
    <t>C:\Shaiju\wayooz\client-app\src\features\AppData\AppDataEdit.tsx</t>
  </si>
  <si>
    <t>C:\Shaiju\wayooz\client-app\src\features\AppData\AppDataList.tsx</t>
  </si>
  <si>
    <t>Txt</t>
  </si>
  <si>
    <t>Num</t>
  </si>
  <si>
    <t>float</t>
  </si>
  <si>
    <t>Float</t>
  </si>
  <si>
    <t>Bool</t>
  </si>
  <si>
    <t>AppStatusList</t>
  </si>
  <si>
    <t>appStatusList</t>
  </si>
  <si>
    <t>C:\Shaiju\wayooz\Domain\AppStatusList.cs</t>
  </si>
  <si>
    <t>C:\Shaiju\wayooz\Application\AppStatusList\AppStatusListDto.cs</t>
  </si>
  <si>
    <t>C:\Shaiju\wayooz\Application\AppStatusList\List.cs</t>
  </si>
  <si>
    <t>C:\Shaiju\wayooz\Application\AppStatusList\Details.cs</t>
  </si>
  <si>
    <t>C:\Shaiju\wayooz\Application\AppStatusList\Create.cs</t>
  </si>
  <si>
    <t>C:\Shaiju\wayooz\Application\AppStatusList\Edit.cs</t>
  </si>
  <si>
    <t>C:\Shaiju\wayooz\Application\AppStatusList\Delete.cs</t>
  </si>
  <si>
    <t>C:\Shaiju\wayooz\API\Controllers\AppStatusListController.cs</t>
  </si>
  <si>
    <t>C:\Shaiju\wayooz\Application\AppStatusList\MappingProfile.cs</t>
  </si>
  <si>
    <t>C:\Shaiju\wayooz\client-app\src\features\AppStatusList\AppStatusList.ts</t>
  </si>
  <si>
    <t>C:\Shaiju\wayooz\client-app\src\features\AppStatusList\AppStatusListStore.ts</t>
  </si>
  <si>
    <t>C:\Shaiju\wayooz\client-app\src\features\AppStatusList\AppStatusListEdit.tsx</t>
  </si>
  <si>
    <t>C:\Shaiju\wayooz\client-app\src\features\AppStatusList\AppStatusListList.tsx</t>
  </si>
  <si>
    <t>AppHistory</t>
  </si>
  <si>
    <t>appHistory</t>
  </si>
  <si>
    <t>FromStage</t>
  </si>
  <si>
    <t>ToStage</t>
  </si>
  <si>
    <t>ActionBy</t>
  </si>
  <si>
    <t>Details1</t>
  </si>
  <si>
    <t>Details2</t>
  </si>
  <si>
    <t>Details3</t>
  </si>
  <si>
    <t>Details4</t>
  </si>
  <si>
    <t>Details5</t>
  </si>
  <si>
    <t>C:\Shaiju\wayooz\Domain\AppHistory.cs</t>
  </si>
  <si>
    <t>C:\Shaiju\wayooz\Application\AppHistory\AppHistoryDto.cs</t>
  </si>
  <si>
    <t>C:\Shaiju\wayooz\Application\AppHistory\List.cs</t>
  </si>
  <si>
    <t>C:\Shaiju\wayooz\Application\AppHistory\Details.cs</t>
  </si>
  <si>
    <t>C:\Shaiju\wayooz\Application\AppHistory\Create.cs</t>
  </si>
  <si>
    <t>C:\Shaiju\wayooz\Application\AppHistory\Edit.cs</t>
  </si>
  <si>
    <t>C:\Shaiju\wayooz\Application\AppHistory\Delete.cs</t>
  </si>
  <si>
    <t>C:\Shaiju\wayooz\API\Controllers\AppHistoryController.cs</t>
  </si>
  <si>
    <t>C:\Shaiju\wayooz\Application\AppHistory\MappingProfile.cs</t>
  </si>
  <si>
    <t>C:\Shaiju\wayooz\client-app\src\features\AppHistory\AppHistory.ts</t>
  </si>
  <si>
    <t>C:\Shaiju\wayooz\client-app\src\features\AppHistory\AppHistoryStore.ts</t>
  </si>
  <si>
    <t>C:\Shaiju\wayooz\client-app\src\features\AppHistory\AppHistoryEdit.tsx</t>
  </si>
  <si>
    <t>C:\Shaiju\wayooz\client-app\src\features\AppHistory\AppHistoryList.tsx</t>
  </si>
  <si>
    <t>TableId</t>
  </si>
  <si>
    <t>status, config</t>
  </si>
  <si>
    <t>AppConfigType</t>
  </si>
  <si>
    <t>appConfigType</t>
  </si>
  <si>
    <t>C:\Shaiju\wayooz\Domain\AppConfigType.cs</t>
  </si>
  <si>
    <t>C:\Shaiju\wayooz\Application\AppConfigType\AppConfigTypeDto.cs</t>
  </si>
  <si>
    <t>C:\Shaiju\wayooz\Application\AppConfigType\List.cs</t>
  </si>
  <si>
    <t>C:\Shaiju\wayooz\Application\AppConfigType\Details.cs</t>
  </si>
  <si>
    <t>C:\Shaiju\wayooz\Application\AppConfigType\Create.cs</t>
  </si>
  <si>
    <t>C:\Shaiju\wayooz\Application\AppConfigType\Edit.cs</t>
  </si>
  <si>
    <t>C:\Shaiju\wayooz\Application\AppConfigType\Delete.cs</t>
  </si>
  <si>
    <t>C:\Shaiju\wayooz\API\Controllers\AppConfigTypeController.cs</t>
  </si>
  <si>
    <t>C:\Shaiju\wayooz\Application\AppConfigType\MappingProfile.cs</t>
  </si>
  <si>
    <t>C:\Shaiju\wayooz\client-app\src\features\AppConfigType\AppConfigType.ts</t>
  </si>
  <si>
    <t>C:\Shaiju\wayooz\client-app\src\features\AppConfigType\AppConfigTypeStore.ts</t>
  </si>
  <si>
    <t>C:\Shaiju\wayooz\client-app\src\features\AppConfigType\AppConfigTypeEdit.tsx</t>
  </si>
  <si>
    <t>C:\Shaiju\wayooz\client-app\src\features\AppConfigType\AppConfigTypeList.tsx</t>
  </si>
  <si>
    <t>Det1</t>
  </si>
  <si>
    <t>Det2</t>
  </si>
  <si>
    <t>Det3</t>
  </si>
  <si>
    <t>Det4</t>
  </si>
  <si>
    <t>Det5</t>
  </si>
  <si>
    <t>AppConfig</t>
  </si>
  <si>
    <t>appConfig</t>
  </si>
  <si>
    <t>C:\Shaiju\wayooz\Domain\AppConfig.cs</t>
  </si>
  <si>
    <t>C:\Shaiju\wayooz\Application\AppConfig\AppConfigDto.cs</t>
  </si>
  <si>
    <t>C:\Shaiju\wayooz\Application\AppConfig\List.cs</t>
  </si>
  <si>
    <t>C:\Shaiju\wayooz\Application\AppConfig\Details.cs</t>
  </si>
  <si>
    <t>C:\Shaiju\wayooz\Application\AppConfig\Create.cs</t>
  </si>
  <si>
    <t>C:\Shaiju\wayooz\Application\AppConfig\Edit.cs</t>
  </si>
  <si>
    <t>C:\Shaiju\wayooz\Application\AppConfig\Delete.cs</t>
  </si>
  <si>
    <t>C:\Shaiju\wayooz\API\Controllers\AppConfigController.cs</t>
  </si>
  <si>
    <t>C:\Shaiju\wayooz\Application\AppConfig\MappingProfile.cs</t>
  </si>
  <si>
    <t>C:\Shaiju\wayooz\client-app\src\features\AppConfig\AppConfig.ts</t>
  </si>
  <si>
    <t>C:\Shaiju\wayooz\client-app\src\features\AppConfig\AppConfigStore.ts</t>
  </si>
  <si>
    <t>C:\Shaiju\wayooz\client-app\src\features\AppConfig\AppConfigEdit.tsx</t>
  </si>
  <si>
    <t>C:\Shaiju\wayooz\client-app\src\features\AppConfig\AppConfigList.tsx</t>
  </si>
  <si>
    <t>Admin</t>
  </si>
  <si>
    <t>OMS IT Admin</t>
  </si>
  <si>
    <t>BackOfficeMaker</t>
  </si>
  <si>
    <t>BackOfficeChecker</t>
  </si>
  <si>
    <t>OMSUser</t>
  </si>
  <si>
    <t>TestRole</t>
  </si>
  <si>
    <t>OMS Read Only</t>
  </si>
  <si>
    <t>AppAction</t>
  </si>
  <si>
    <t>appAction</t>
  </si>
  <si>
    <t>ToStatusId</t>
  </si>
  <si>
    <t>ActionXml</t>
  </si>
  <si>
    <t>WhenXml</t>
  </si>
  <si>
    <t>ActionType</t>
  </si>
  <si>
    <t>C:\Shaiju\wayooz\Domain\AppAction.cs</t>
  </si>
  <si>
    <t>C:\Shaiju\wayooz\Application\AppAction\AppActionDto.cs</t>
  </si>
  <si>
    <t>C:\Shaiju\wayooz\Application\AppAction\List.cs</t>
  </si>
  <si>
    <t>C:\Shaiju\wayooz\Application\AppAction\Details.cs</t>
  </si>
  <si>
    <t>C:\Shaiju\wayooz\Application\AppAction\Create.cs</t>
  </si>
  <si>
    <t>C:\Shaiju\wayooz\Application\AppAction\Edit.cs</t>
  </si>
  <si>
    <t>C:\Shaiju\wayooz\Application\AppAction\Delete.cs</t>
  </si>
  <si>
    <t>C:\Shaiju\wayooz\API\Controllers\AppActionController.cs</t>
  </si>
  <si>
    <t>C:\Shaiju\wayooz\Application\AppAction\MappingProfile.cs</t>
  </si>
  <si>
    <t>C:\Shaiju\wayooz\client-app\src\features\AppAction\AppAction.ts</t>
  </si>
  <si>
    <t>C:\Shaiju\wayooz\client-app\src\features\AppAction\AppActionStore.ts</t>
  </si>
  <si>
    <t>C:\Shaiju\wayooz\client-app\src\features\AppAction\AppActionEdit.tsx</t>
  </si>
  <si>
    <t>C:\Shaiju\wayooz\client-app\src\features\AppAction\AppActionList.tsx</t>
  </si>
  <si>
    <t>AppFlow</t>
  </si>
  <si>
    <t>appFlow</t>
  </si>
  <si>
    <t>C:\Shaiju\wayooz\Domain\AppFlow.cs</t>
  </si>
  <si>
    <t>C:\Shaiju\wayooz\Application\AppFlow\AppFlowDto.cs</t>
  </si>
  <si>
    <t>C:\Shaiju\wayooz\Application\AppFlow\List.cs</t>
  </si>
  <si>
    <t>C:\Shaiju\wayooz\Application\AppFlow\Details.cs</t>
  </si>
  <si>
    <t>C:\Shaiju\wayooz\Application\AppFlow\Create.cs</t>
  </si>
  <si>
    <t>C:\Shaiju\wayooz\Application\AppFlow\Edit.cs</t>
  </si>
  <si>
    <t>C:\Shaiju\wayooz\Application\AppFlow\Delete.cs</t>
  </si>
  <si>
    <t>C:\Shaiju\wayooz\API\Controllers\AppFlowController.cs</t>
  </si>
  <si>
    <t>C:\Shaiju\wayooz\Application\AppFlow\MappingProfile.cs</t>
  </si>
  <si>
    <t>C:\Shaiju\wayooz\client-app\src\features\AppFlow\AppFlow.ts</t>
  </si>
  <si>
    <t>C:\Shaiju\wayooz\client-app\src\features\AppFlow\AppFlowStore.ts</t>
  </si>
  <si>
    <t>C:\Shaiju\wayooz\client-app\src\features\AppFlow\AppFlowEdit.tsx</t>
  </si>
  <si>
    <t>C:\Shaiju\wayooz\client-app\src\features\AppFlow\AppFlowList.tsx</t>
  </si>
  <si>
    <t>ActionId</t>
  </si>
  <si>
    <t>Parm1</t>
  </si>
  <si>
    <t>Parm2</t>
  </si>
  <si>
    <t>Parm3</t>
  </si>
  <si>
    <t>Parm4</t>
  </si>
  <si>
    <t>Parm5</t>
  </si>
  <si>
    <t>Parm6</t>
  </si>
  <si>
    <t>Parm7</t>
  </si>
  <si>
    <t>Parm8</t>
  </si>
  <si>
    <t>Parm9</t>
  </si>
  <si>
    <t xml:space="preserve">Parm10 </t>
  </si>
  <si>
    <t>AppDataId</t>
  </si>
  <si>
    <t>FileName</t>
  </si>
  <si>
    <t>Path</t>
  </si>
  <si>
    <t>Prop5</t>
  </si>
  <si>
    <t>AppAttachment</t>
  </si>
  <si>
    <t>FlowId</t>
  </si>
  <si>
    <t>InitStatus</t>
  </si>
  <si>
    <t>boolean</t>
  </si>
  <si>
    <t>appAttachment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</si>
</sst>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0" borderId="0" xfId="0" applyFont="1"/>
    <xf numFmtId="0" fontId="1" fillId="0" borderId="0" xfId="0" applyFont="1" applyFill="1" applyAlignment="1">
      <alignment wrapText="1"/>
    </xf>
    <xf numFmtId="0" fontId="3" fillId="0" borderId="0" xfId="0" applyFont="1" applyAlignment="1">
      <alignment horizontal="center"/>
    </xf>
    <xf numFmtId="0" fontId="4" fillId="3" borderId="1" xfId="0" applyFont="1" applyFill="1" applyBorder="1" applyAlignment="1">
      <alignment horizontal="left" indent="1"/>
    </xf>
    <xf numFmtId="0" fontId="0" fillId="0" borderId="1" xfId="0" applyFont="1" applyBorder="1" applyAlignment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4" borderId="4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4" fillId="0" borderId="0" xfId="0" applyFont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/>
    </xf>
    <xf numFmtId="0" fontId="0" fillId="0" borderId="2" xfId="0" applyFont="1" applyBorder="1" applyAlignment="1">
      <alignment horizontal="left" indent="1"/>
    </xf>
    <xf numFmtId="0" fontId="0" fillId="0" borderId="3" xfId="0" applyFont="1" applyBorder="1" applyAlignment="1">
      <alignment horizontal="left" indent="1"/>
    </xf>
    <xf numFmtId="0" fontId="5" fillId="0" borderId="7" xfId="0" applyFont="1" applyBorder="1" applyAlignment="1">
      <alignment wrapText="1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ables/table1.xml><?xml version="1.0" encoding="utf-8"?>
<table xmlns="http://schemas.openxmlformats.org/spreadsheetml/2006/main" id="3" name="Table3" displayName="Table3" ref="B7:F13" totalsRowShown="0">
  <autoFilter ref="B7:F13"/>
  <tableColumns count="5">
    <tableColumn id="1" name="Field"/>
    <tableColumn id="2" name="Data Type"/>
    <tableColumn id="4" name="Required"/>
    <tableColumn id="3" name="JS Datatype"/>
    <tableColumn id="5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32" displayName="Table32" ref="B7:F13" totalsRowShown="0">
  <autoFilter ref="B7:F13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323" displayName="Table323" ref="B7:F11" totalsRowShown="0">
  <autoFilter ref="B7:F11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B7:F18" totalsRowShown="0">
  <autoFilter ref="B7:F18"/>
  <tableColumns count="5">
    <tableColumn id="1" name="Field"/>
    <tableColumn id="2" name="Data Type"/>
    <tableColumn id="4" name="Required"/>
    <tableColumn id="3" name="JS Datatype"/>
    <tableColumn id="5" name="JS Datatype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356" displayName="Table35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3567" displayName="Table3567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35678" displayName="Table35678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35678910" displayName="Table35678910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Table356789" displayName="Table356789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35678911" displayName="Table35678911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Table3567891113" displayName="Table3567891113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Table3567891112" displayName="Table3567891112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7" name="Table3567891112151418" displayName="Table3567891112151418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356789111215" displayName="Table356789111215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3" name="Table35678911121514" displayName="Table35678911121514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Table3567891112151416" displayName="Table3567891112151416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Table356789111215141617" displayName="Table356789111215141617" ref="B7:F12" totalsRowShown="0">
  <autoFilter ref="B7:F12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able35678911121514161719" displayName="Table35678911121514161719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e356789111215141820" displayName="Table356789111215141820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able35678911121514182021" displayName="Table35678911121514182021" ref="B7:F19" totalsRowShown="0">
  <autoFilter ref="B7:F19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able35678911121514182022" displayName="Table35678911121514182022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able3567891112151418202223" displayName="Table3567891112151418202223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Table356789111215141820222324" displayName="Table356789111215141820222324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Table35678911121514182022232425" displayName="Table35678911121514182022232425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6" name="Table35678911121514182022232427" displayName="Table35678911121514182022232427" ref="B7:F16" totalsRowShown="0">
  <autoFilter ref="B7:F16"/>
  <tableColumns count="5">
    <tableColumn id="1" name="Field"/>
    <tableColumn id="2" name="Data Type"/>
    <tableColumn id="4" name="Required"/>
    <tableColumn id="3" name="JS Field" dataDxfId="0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topLeftCell="A14" workbookViewId="0">
      <selection activeCell="B24" sqref="B24"/>
    </sheetView>
  </sheetViews>
  <sheetFormatPr defaultRowHeight="15" x14ac:dyDescent="0.25"/>
  <cols>
    <col min="2" max="2" width="17.85546875" customWidth="1"/>
    <col min="3" max="3" width="29" bestFit="1" customWidth="1"/>
    <col min="4" max="4" width="50.85546875" bestFit="1" customWidth="1"/>
    <col min="5" max="5" width="51" bestFit="1" customWidth="1"/>
    <col min="6" max="6" width="27.7109375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41.42578125" customWidth="1"/>
  </cols>
  <sheetData>
    <row r="1" spans="1:12" x14ac:dyDescent="0.25">
      <c r="A1" s="2" t="s">
        <v>13</v>
      </c>
      <c r="B1" s="2" t="s">
        <v>17</v>
      </c>
      <c r="D1" s="1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18</v>
      </c>
      <c r="D2" s="1" t="str">
        <f>"Domain\" &amp; $B$1 &amp; ".cs"</f>
        <v>Domain\PageCategory.cs</v>
      </c>
      <c r="E2" s="1" t="s">
        <v>9</v>
      </c>
      <c r="F2" s="1" t="str">
        <f>"Application\" &amp; $B$1</f>
        <v>Application\PageCategory</v>
      </c>
      <c r="G2" s="1" t="str">
        <f>"Application\" &amp; $B$2 &amp; "\List.cs"</f>
        <v>Application\pageCategory\List.cs</v>
      </c>
      <c r="H2" s="1" t="str">
        <f>"Application\" &amp; $B$2 &amp; "\Details.cs"</f>
        <v>Application\pageCategory\Details.cs</v>
      </c>
      <c r="I2" s="1" t="str">
        <f>"Application\" &amp; $B$2 &amp; "\Create.cs"</f>
        <v>Application\pageCategory\Create.cs</v>
      </c>
      <c r="J2" s="1" t="str">
        <f>"Application\" &amp; $B$2 &amp; "\Edit.cs"</f>
        <v>Application\pageCategory\Edit.cs</v>
      </c>
      <c r="K2" s="1" t="str">
        <f>"Application\" &amp; $B$2 &amp; "\Delete.cs"</f>
        <v>Application\pageCategory\Delete.cs</v>
      </c>
      <c r="L2" s="1" t="str">
        <f>"API\Controllers\" &amp; $B$1 &amp; "sController.cs"</f>
        <v>API\Controllers\PageCategorysController.cs</v>
      </c>
    </row>
    <row r="3" spans="1:12" s="5" customFormat="1" x14ac:dyDescent="0.25">
      <c r="A3" s="4"/>
      <c r="B3" s="4"/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PageCategory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DbSet&lt;PageCategory&gt; PageCategorys { get; set; }</v>
      </c>
      <c r="G7" s="6"/>
    </row>
    <row r="8" spans="1:12" x14ac:dyDescent="0.25">
      <c r="B8" t="s">
        <v>1</v>
      </c>
      <c r="C8" t="s">
        <v>8</v>
      </c>
      <c r="D8" t="str">
        <f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pageCategory.Title = request.Title ?? pageCategory.Title;</v>
      </c>
    </row>
    <row r="9" spans="1:12" x14ac:dyDescent="0.25">
      <c r="B9" t="s">
        <v>19</v>
      </c>
      <c r="C9" t="s">
        <v>22</v>
      </c>
      <c r="D9" t="str">
        <f>"        public " &amp; C9 &amp; " " &amp; B9 &amp; " { get; set; }"</f>
        <v xml:space="preserve">        public virtual PageCategory Parent { get; set; }</v>
      </c>
      <c r="G9" s="6"/>
      <c r="J9" t="str">
        <f xml:space="preserve"> B$2 &amp;  "." &amp; B9 &amp; " = request." &amp; B9 &amp; " ?? " &amp; B$2 &amp; ".Title;"</f>
        <v>pageCategory.Parent = request.Parent ?? pageCategory.Title;</v>
      </c>
    </row>
    <row r="10" spans="1:12" x14ac:dyDescent="0.25">
      <c r="B10" t="s">
        <v>20</v>
      </c>
      <c r="C10" t="s">
        <v>21</v>
      </c>
      <c r="D10" t="str">
        <f>"        public " &amp; C10 &amp; " " &amp; B10 &amp; " { get; set; }"</f>
        <v xml:space="preserve">        public virtual HashSet&lt;PageCategory&gt; Children { get; set; }</v>
      </c>
      <c r="G10" s="8"/>
      <c r="J10" t="str">
        <f xml:space="preserve"> B$2 &amp;  "." &amp; B10 &amp; " = request." &amp; B10 &amp; " ?? " &amp; B$2 &amp; ".Title;"</f>
        <v>pageCategory.Children = request.Children ?? pageCategory.Title;</v>
      </c>
    </row>
    <row r="11" spans="1:12" x14ac:dyDescent="0.25">
      <c r="G11" s="8"/>
      <c r="J11" t="str">
        <f xml:space="preserve"> B$2 &amp;  "." &amp; B11 &amp; " = request." &amp; B11 &amp; " ?? " &amp; B$2 &amp; ".Title;"</f>
        <v>pageCategory. = request. ?? pageCategory.Title;</v>
      </c>
    </row>
    <row r="12" spans="1:12" x14ac:dyDescent="0.25">
      <c r="G12" s="8"/>
      <c r="J12" t="str">
        <f xml:space="preserve"> B$2 &amp;  "." &amp; B12 &amp; " = request." &amp; B12 &amp; " ?? " &amp; B$2 &amp; ".Title;"</f>
        <v>pageCategory. = request. ?? pageCategory.Title;</v>
      </c>
    </row>
    <row r="13" spans="1:12" x14ac:dyDescent="0.25"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Application.PageCategorys
{
    public class List
    {
        public class Query : IRequest&lt;List&lt;Domain.PageCategory&gt;&gt; { }
        public class Handler : IRequestHandler&lt;Query, List&lt;Domain.PageCategory&gt;&gt;
        {
            private readonly DataContext _context;
            public Handler(DataContext context)
            {
                _context = context;
            }
            public async Task&lt;List&lt;Domain.PageCategory&gt;&gt; Handle(Query request, CancellationToken cancellationToken)
            {
                var pageCategorys = await _context.PageCategorys
                    .ToListAsync();
                return pageCategorys;
            }
        }
    }
}
</v>
      </c>
    </row>
    <row r="16" spans="1:12" ht="30" x14ac:dyDescent="0.25">
      <c r="D16" s="7" t="s">
        <v>15</v>
      </c>
      <c r="G16" s="9" t="s">
        <v>16</v>
      </c>
    </row>
    <row r="21" spans="1:12" x14ac:dyDescent="0.2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4" spans="1:12" ht="409.5" x14ac:dyDescent="0.25">
      <c r="B24" s="7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workbookViewId="0">
      <selection activeCell="B7" sqref="B7:C12"/>
    </sheetView>
  </sheetViews>
  <sheetFormatPr defaultRowHeight="15" x14ac:dyDescent="0.25"/>
  <cols>
    <col min="2" max="3" width="17.85546875" customWidth="1"/>
    <col min="4" max="4" width="39.42578125" bestFit="1" customWidth="1"/>
    <col min="5" max="5" width="37.28515625" customWidth="1"/>
    <col min="6" max="6" width="16.42578125" bestFit="1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32.7109375" bestFit="1" customWidth="1"/>
  </cols>
  <sheetData>
    <row r="1" spans="1:12" x14ac:dyDescent="0.25">
      <c r="A1" s="2" t="s">
        <v>13</v>
      </c>
      <c r="B1" s="2" t="s">
        <v>12</v>
      </c>
      <c r="D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6</v>
      </c>
      <c r="D2" s="1" t="str">
        <f>"Domain\" &amp; $B$1 &amp; ".cs"</f>
        <v>Domain\Page.cs</v>
      </c>
      <c r="E2" s="1" t="s">
        <v>9</v>
      </c>
      <c r="F2" s="1" t="str">
        <f>"Application\" &amp; $B$1</f>
        <v>Application\Page</v>
      </c>
      <c r="G2" s="1" t="str">
        <f>"Application\" &amp; $B$2 &amp; "\List.cs"</f>
        <v>Application\page\List.cs</v>
      </c>
      <c r="H2" s="1" t="str">
        <f>"Application\" &amp; $B$2 &amp; "\Details.cs"</f>
        <v>Application\page\Details.cs</v>
      </c>
      <c r="I2" s="1" t="str">
        <f>"Application\" &amp; $B$2 &amp; "\Create.cs"</f>
        <v>Application\page\Create.cs</v>
      </c>
      <c r="J2" s="1" t="str">
        <f>"Application\" &amp; $B$2 &amp; "\Edit.cs"</f>
        <v>Application\page\Edit.cs</v>
      </c>
      <c r="K2" s="1" t="str">
        <f>"Application\" &amp; $B$2 &amp; "\Delete.cs"</f>
        <v>Application\page\Delete.cs</v>
      </c>
      <c r="L2" s="1" t="str">
        <f>"API\Controllers\" &amp; $B$2 &amp; "sController.cs"</f>
        <v>API\Controllers\pagesController.cs</v>
      </c>
    </row>
    <row r="3" spans="1:12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11</v>
      </c>
      <c r="L3" s="4">
        <v>12</v>
      </c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DbSet&lt;Page&gt; Pages { get; set; }</v>
      </c>
      <c r="G7" s="6"/>
    </row>
    <row r="8" spans="1:12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page.Title = request.Title ?? page.Title;</v>
      </c>
    </row>
    <row r="9" spans="1:12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G9" s="6"/>
      <c r="J9" t="str">
        <f xml:space="preserve"> B$2 &amp;  "." &amp; B9 &amp; " = request." &amp; B9 &amp; " ?? " &amp; B$2 &amp; ".Title;"</f>
        <v>page.Description = request.Description ?? page.Title;</v>
      </c>
    </row>
    <row r="10" spans="1:12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G10" s="8"/>
      <c r="J10" t="str">
        <f xml:space="preserve"> B$2 &amp;  "." &amp; B10 &amp; " = request." &amp; B10 &amp; " ?? " &amp; B$2 &amp; ".Title;"</f>
        <v>page.CategoryId = request.CategoryId ?? page.Title;</v>
      </c>
    </row>
    <row r="11" spans="1:12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G11" s="8"/>
      <c r="J11" t="str">
        <f xml:space="preserve"> B$2 &amp;  "." &amp; B11 &amp; " = request." &amp; B11 &amp; " ?? " &amp; B$2 &amp; ".Title;"</f>
        <v>page.URLTitle = request.URLTitle ?? page.Title;</v>
      </c>
    </row>
    <row r="12" spans="1:12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G12" s="8"/>
      <c r="J12" t="str">
        <f xml:space="preserve"> B$2 &amp;  "." &amp; B12 &amp; " = request." &amp; B12 &amp; " ?? " &amp; B$2 &amp; ".Title;"</f>
        <v>page.PageHtml = request.PageHtml ?? page.Title;</v>
      </c>
    </row>
    <row r="13" spans="1:12" x14ac:dyDescent="0.25">
      <c r="D13" t="str">
        <f t="shared" si="0"/>
        <v xml:space="preserve">        public   { get; set; }</v>
      </c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Application.Pages
{
    public class List
    {
        public class Query : IRequest&lt;List&lt;Domain.Page&gt;&gt; { }
        public class Handler : IRequestHandler&lt;Query, List&lt;Domain.Page&gt;&gt;
        {
            private readonly DataContext _context;
            public Handler(DataContext context)
            {
                _context = context;
            }
            public async Task&lt;List&lt;Domain.Page&gt;&gt; Handle(Query request, CancellationToken cancellationToken)
            {
                var pages = await _context.Pages
                    .ToListAsync();
                return pages;
            }
        }
    }
}
</v>
      </c>
    </row>
    <row r="16" spans="1:12" ht="409.5" x14ac:dyDescent="0.25">
      <c r="D16" s="7" t="s">
        <v>15</v>
      </c>
      <c r="G16" s="12" t="s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3"/>
  <sheetViews>
    <sheetView workbookViewId="0">
      <selection activeCell="C5" sqref="C5:D5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190</v>
      </c>
      <c r="D2" s="30"/>
    </row>
    <row r="3" spans="1:12" x14ac:dyDescent="0.25">
      <c r="B3" s="14" t="s">
        <v>14</v>
      </c>
      <c r="C3" s="30" t="s">
        <v>191</v>
      </c>
      <c r="D3" s="30"/>
    </row>
    <row r="4" spans="1:12" x14ac:dyDescent="0.25">
      <c r="B4" s="14" t="s">
        <v>31</v>
      </c>
      <c r="C4" s="30" t="s">
        <v>32</v>
      </c>
      <c r="D4" s="30"/>
      <c r="E4" s="14" t="s">
        <v>40</v>
      </c>
      <c r="F4" s="15" t="str">
        <f>B9</f>
        <v>Title</v>
      </c>
    </row>
    <row r="5" spans="1:12" x14ac:dyDescent="0.25">
      <c r="B5" s="14" t="s">
        <v>34</v>
      </c>
      <c r="C5" s="31" t="s">
        <v>33</v>
      </c>
      <c r="D5" s="31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43</v>
      </c>
      <c r="F7" t="s">
        <v>39</v>
      </c>
      <c r="I7" t="s">
        <v>37</v>
      </c>
      <c r="J7" t="s">
        <v>44</v>
      </c>
    </row>
    <row r="8" spans="1:12" x14ac:dyDescent="0.25">
      <c r="B8" t="s">
        <v>0</v>
      </c>
      <c r="C8" t="s">
        <v>7</v>
      </c>
      <c r="E8" t="s">
        <v>8</v>
      </c>
      <c r="I8" t="s">
        <v>37</v>
      </c>
      <c r="J8" t="s">
        <v>45</v>
      </c>
    </row>
    <row r="9" spans="1:12" x14ac:dyDescent="0.25">
      <c r="B9" t="s">
        <v>1</v>
      </c>
      <c r="C9" t="s">
        <v>8</v>
      </c>
      <c r="D9" t="s">
        <v>30</v>
      </c>
      <c r="E9" t="s">
        <v>8</v>
      </c>
      <c r="I9" t="s">
        <v>37</v>
      </c>
      <c r="J9" t="s">
        <v>46</v>
      </c>
    </row>
    <row r="10" spans="1:12" x14ac:dyDescent="0.25">
      <c r="B10" t="s">
        <v>2</v>
      </c>
      <c r="C10" t="s">
        <v>8</v>
      </c>
      <c r="D10" t="s">
        <v>30</v>
      </c>
      <c r="E10" t="s">
        <v>8</v>
      </c>
      <c r="I10" t="s">
        <v>37</v>
      </c>
      <c r="J10" t="s">
        <v>47</v>
      </c>
    </row>
    <row r="11" spans="1:12" x14ac:dyDescent="0.25">
      <c r="I11" t="s">
        <v>37</v>
      </c>
      <c r="J11" t="s">
        <v>48</v>
      </c>
    </row>
    <row r="12" spans="1:12" x14ac:dyDescent="0.25">
      <c r="I12" t="s">
        <v>37</v>
      </c>
      <c r="J12" t="s">
        <v>49</v>
      </c>
    </row>
    <row r="13" spans="1:12" x14ac:dyDescent="0.25">
      <c r="I13" t="s">
        <v>37</v>
      </c>
      <c r="J13" t="s">
        <v>50</v>
      </c>
    </row>
    <row r="14" spans="1:12" x14ac:dyDescent="0.25">
      <c r="I14" t="s">
        <v>37</v>
      </c>
      <c r="J14" t="s">
        <v>51</v>
      </c>
    </row>
    <row r="15" spans="1:12" x14ac:dyDescent="0.25">
      <c r="I15" t="s">
        <v>37</v>
      </c>
      <c r="J15" t="s">
        <v>52</v>
      </c>
    </row>
    <row r="16" spans="1:12" x14ac:dyDescent="0.25">
      <c r="I16" t="s">
        <v>37</v>
      </c>
      <c r="J16" t="s">
        <v>53</v>
      </c>
    </row>
    <row r="17" spans="9:10" x14ac:dyDescent="0.25">
      <c r="I17" t="s">
        <v>37</v>
      </c>
      <c r="J17" t="s">
        <v>54</v>
      </c>
    </row>
    <row r="18" spans="9:10" x14ac:dyDescent="0.25">
      <c r="I18" t="s">
        <v>37</v>
      </c>
      <c r="J18" t="s">
        <v>55</v>
      </c>
    </row>
    <row r="19" spans="9:10" x14ac:dyDescent="0.25">
      <c r="I19" t="s">
        <v>37</v>
      </c>
      <c r="J19" t="s">
        <v>56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58</v>
      </c>
    </row>
    <row r="23" spans="9:10" x14ac:dyDescent="0.25">
      <c r="I23" t="s">
        <v>57</v>
      </c>
      <c r="J23" t="s">
        <v>59</v>
      </c>
    </row>
  </sheetData>
  <mergeCells count="4">
    <mergeCell ref="C4:D4"/>
    <mergeCell ref="C5:D5"/>
    <mergeCell ref="C2:D2"/>
    <mergeCell ref="C3:D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24</v>
      </c>
      <c r="D2" s="30"/>
    </row>
    <row r="3" spans="1:12" x14ac:dyDescent="0.25">
      <c r="B3" s="14" t="s">
        <v>14</v>
      </c>
      <c r="C3" s="30" t="s">
        <v>25</v>
      </c>
      <c r="D3" s="30"/>
    </row>
    <row r="4" spans="1:12" x14ac:dyDescent="0.25">
      <c r="B4" s="14" t="s">
        <v>31</v>
      </c>
      <c r="C4" s="30" t="s">
        <v>32</v>
      </c>
      <c r="D4" s="30"/>
      <c r="E4" s="14" t="s">
        <v>40</v>
      </c>
      <c r="F4" s="15" t="str">
        <f>B9</f>
        <v>Supplier</v>
      </c>
    </row>
    <row r="5" spans="1:12" x14ac:dyDescent="0.25">
      <c r="B5" s="14" t="s">
        <v>34</v>
      </c>
      <c r="C5" s="31" t="s">
        <v>33</v>
      </c>
      <c r="D5" s="31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60</v>
      </c>
      <c r="C9" t="s">
        <v>61</v>
      </c>
      <c r="D9" t="s">
        <v>30</v>
      </c>
      <c r="E9" t="s">
        <v>60</v>
      </c>
      <c r="F9" t="s">
        <v>8</v>
      </c>
    </row>
    <row r="10" spans="1:12" x14ac:dyDescent="0.25">
      <c r="B10" t="s">
        <v>2</v>
      </c>
      <c r="C10" t="s">
        <v>8</v>
      </c>
      <c r="D10" t="s">
        <v>30</v>
      </c>
      <c r="E10" t="s">
        <v>2</v>
      </c>
      <c r="F10" t="s">
        <v>8</v>
      </c>
    </row>
    <row r="22" spans="2:2" x14ac:dyDescent="0.25">
      <c r="B22" t="s">
        <v>63</v>
      </c>
    </row>
    <row r="23" spans="2:2" x14ac:dyDescent="0.25">
      <c r="B23" t="s">
        <v>64</v>
      </c>
    </row>
    <row r="24" spans="2:2" x14ac:dyDescent="0.25">
      <c r="B24" t="s">
        <v>65</v>
      </c>
    </row>
    <row r="25" spans="2:2" x14ac:dyDescent="0.25">
      <c r="B25" t="s">
        <v>66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1"/>
  <sheetViews>
    <sheetView workbookViewId="0">
      <selection activeCell="F9" sqref="F9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24</v>
      </c>
      <c r="D2" s="30"/>
    </row>
    <row r="3" spans="1:12" x14ac:dyDescent="0.25">
      <c r="B3" s="14" t="s">
        <v>14</v>
      </c>
      <c r="C3" s="30" t="s">
        <v>25</v>
      </c>
      <c r="D3" s="30"/>
    </row>
    <row r="4" spans="1:12" x14ac:dyDescent="0.25">
      <c r="B4" s="14" t="s">
        <v>31</v>
      </c>
      <c r="C4" s="30" t="s">
        <v>32</v>
      </c>
      <c r="D4" s="30"/>
      <c r="E4" s="14" t="s">
        <v>40</v>
      </c>
      <c r="F4" s="15" t="e">
        <f>#REF!</f>
        <v>#REF!</v>
      </c>
    </row>
    <row r="5" spans="1:12" x14ac:dyDescent="0.25">
      <c r="B5" s="14" t="s">
        <v>34</v>
      </c>
      <c r="C5" s="31" t="s">
        <v>33</v>
      </c>
      <c r="D5" s="31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64</v>
      </c>
      <c r="C9" t="s">
        <v>67</v>
      </c>
      <c r="D9" t="s">
        <v>30</v>
      </c>
      <c r="E9" t="s">
        <v>64</v>
      </c>
      <c r="F9" t="s">
        <v>67</v>
      </c>
    </row>
    <row r="10" spans="1:12" x14ac:dyDescent="0.25">
      <c r="B10" t="s">
        <v>65</v>
      </c>
      <c r="C10" t="s">
        <v>67</v>
      </c>
      <c r="D10" t="s">
        <v>30</v>
      </c>
      <c r="E10" t="s">
        <v>65</v>
      </c>
      <c r="F10" t="s">
        <v>67</v>
      </c>
    </row>
    <row r="11" spans="1:12" x14ac:dyDescent="0.25">
      <c r="B11" t="s">
        <v>66</v>
      </c>
      <c r="C11" t="s">
        <v>8</v>
      </c>
      <c r="D11" t="s">
        <v>30</v>
      </c>
      <c r="E11" t="s">
        <v>66</v>
      </c>
      <c r="F11" t="s">
        <v>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selection activeCell="C12" activeCellId="1" sqref="F12 C12"/>
    </sheetView>
  </sheetViews>
  <sheetFormatPr defaultRowHeight="15" x14ac:dyDescent="0.25"/>
  <cols>
    <col min="1" max="1" width="2.42578125" customWidth="1"/>
    <col min="2" max="2" width="16" bestFit="1" customWidth="1"/>
    <col min="3" max="3" width="35.7109375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82</v>
      </c>
      <c r="D2" s="30"/>
    </row>
    <row r="3" spans="1:12" x14ac:dyDescent="0.25">
      <c r="B3" s="14" t="s">
        <v>14</v>
      </c>
      <c r="C3" s="30" t="s">
        <v>83</v>
      </c>
      <c r="D3" s="30"/>
    </row>
    <row r="4" spans="1:12" x14ac:dyDescent="0.25">
      <c r="B4" s="14" t="s">
        <v>31</v>
      </c>
      <c r="C4" s="30" t="s">
        <v>32</v>
      </c>
      <c r="D4" s="30"/>
      <c r="E4" s="14" t="s">
        <v>40</v>
      </c>
      <c r="F4" s="15" t="str">
        <f>B9</f>
        <v>Reseller</v>
      </c>
    </row>
    <row r="5" spans="1:12" x14ac:dyDescent="0.25">
      <c r="B5" s="14" t="s">
        <v>34</v>
      </c>
      <c r="C5" s="31" t="s">
        <v>33</v>
      </c>
      <c r="D5" s="31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43</v>
      </c>
      <c r="F7" t="s">
        <v>107</v>
      </c>
      <c r="I7" t="s">
        <v>37</v>
      </c>
      <c r="J7" t="s">
        <v>123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124</v>
      </c>
    </row>
    <row r="9" spans="1:12" x14ac:dyDescent="0.25">
      <c r="B9" t="s">
        <v>68</v>
      </c>
      <c r="C9" t="s">
        <v>104</v>
      </c>
      <c r="D9" t="s">
        <v>30</v>
      </c>
      <c r="E9" t="s">
        <v>68</v>
      </c>
      <c r="F9" t="s">
        <v>8</v>
      </c>
      <c r="I9" t="s">
        <v>37</v>
      </c>
      <c r="J9" t="s">
        <v>125</v>
      </c>
    </row>
    <row r="10" spans="1:12" x14ac:dyDescent="0.25">
      <c r="B10" t="s">
        <v>60</v>
      </c>
      <c r="C10" t="s">
        <v>104</v>
      </c>
      <c r="D10" t="s">
        <v>30</v>
      </c>
      <c r="E10" t="s">
        <v>60</v>
      </c>
      <c r="F10" t="s">
        <v>8</v>
      </c>
      <c r="I10" t="s">
        <v>37</v>
      </c>
      <c r="J10" t="s">
        <v>126</v>
      </c>
    </row>
    <row r="11" spans="1:12" x14ac:dyDescent="0.25">
      <c r="B11" t="s">
        <v>69</v>
      </c>
      <c r="C11" t="s">
        <v>105</v>
      </c>
      <c r="D11" t="s">
        <v>30</v>
      </c>
      <c r="E11" t="s">
        <v>69</v>
      </c>
      <c r="F11" t="s">
        <v>8</v>
      </c>
      <c r="I11" t="s">
        <v>37</v>
      </c>
      <c r="J11" t="s">
        <v>127</v>
      </c>
    </row>
    <row r="12" spans="1:12" x14ac:dyDescent="0.25">
      <c r="B12" t="s">
        <v>70</v>
      </c>
      <c r="C12" t="s">
        <v>134</v>
      </c>
      <c r="D12" t="s">
        <v>30</v>
      </c>
      <c r="E12" t="s">
        <v>70</v>
      </c>
      <c r="F12" t="s">
        <v>71</v>
      </c>
      <c r="I12" t="s">
        <v>37</v>
      </c>
      <c r="J12" t="s">
        <v>128</v>
      </c>
    </row>
    <row r="13" spans="1:12" x14ac:dyDescent="0.25">
      <c r="B13" t="s">
        <v>72</v>
      </c>
      <c r="C13" t="s">
        <v>8</v>
      </c>
      <c r="D13" t="s">
        <v>30</v>
      </c>
      <c r="E13" t="s">
        <v>72</v>
      </c>
      <c r="F13" t="s">
        <v>8</v>
      </c>
      <c r="I13" t="s">
        <v>37</v>
      </c>
      <c r="J13" t="s">
        <v>129</v>
      </c>
    </row>
    <row r="14" spans="1:12" x14ac:dyDescent="0.25">
      <c r="B14" t="s">
        <v>73</v>
      </c>
      <c r="C14" t="s">
        <v>8</v>
      </c>
      <c r="E14" t="s">
        <v>73</v>
      </c>
      <c r="F14" t="s">
        <v>8</v>
      </c>
      <c r="I14" t="s">
        <v>37</v>
      </c>
      <c r="J14" t="s">
        <v>130</v>
      </c>
    </row>
    <row r="15" spans="1:12" x14ac:dyDescent="0.25">
      <c r="B15" t="s">
        <v>74</v>
      </c>
      <c r="C15" t="s">
        <v>8</v>
      </c>
      <c r="D15" t="s">
        <v>30</v>
      </c>
      <c r="E15" t="s">
        <v>74</v>
      </c>
      <c r="F15" t="s">
        <v>8</v>
      </c>
      <c r="I15" t="s">
        <v>37</v>
      </c>
      <c r="J15" t="s">
        <v>131</v>
      </c>
    </row>
    <row r="16" spans="1:12" x14ac:dyDescent="0.25">
      <c r="B16" t="s">
        <v>75</v>
      </c>
      <c r="C16" t="s">
        <v>8</v>
      </c>
      <c r="D16" t="s">
        <v>30</v>
      </c>
      <c r="E16" t="s">
        <v>75</v>
      </c>
      <c r="F16" t="s">
        <v>8</v>
      </c>
      <c r="I16" t="s">
        <v>37</v>
      </c>
      <c r="J16" t="s">
        <v>132</v>
      </c>
    </row>
    <row r="17" spans="2:10" x14ac:dyDescent="0.25">
      <c r="B17" t="s">
        <v>76</v>
      </c>
      <c r="C17" t="s">
        <v>8</v>
      </c>
      <c r="E17" t="s">
        <v>76</v>
      </c>
      <c r="F17" t="s">
        <v>8</v>
      </c>
      <c r="I17" t="s">
        <v>37</v>
      </c>
      <c r="J17" t="s">
        <v>133</v>
      </c>
    </row>
    <row r="18" spans="2:10" x14ac:dyDescent="0.25">
      <c r="B18" t="s">
        <v>106</v>
      </c>
      <c r="C18" t="s">
        <v>122</v>
      </c>
      <c r="E18" t="s">
        <v>106</v>
      </c>
      <c r="F18" t="s">
        <v>120</v>
      </c>
    </row>
    <row r="19" spans="2:10" x14ac:dyDescent="0.25">
      <c r="I19" t="s">
        <v>57</v>
      </c>
      <c r="J19" t="s">
        <v>58</v>
      </c>
    </row>
    <row r="20" spans="2:10" x14ac:dyDescent="0.25">
      <c r="I20" t="s">
        <v>57</v>
      </c>
      <c r="J20" t="s">
        <v>103</v>
      </c>
    </row>
    <row r="25" spans="2:10" x14ac:dyDescent="0.25">
      <c r="D25" t="s">
        <v>135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0"/>
  <sheetViews>
    <sheetView workbookViewId="0">
      <selection activeCell="C12" sqref="C12"/>
    </sheetView>
  </sheetViews>
  <sheetFormatPr defaultRowHeight="15" x14ac:dyDescent="0.25"/>
  <cols>
    <col min="1" max="1" width="2.42578125" customWidth="1"/>
    <col min="2" max="2" width="14.85546875" bestFit="1" customWidth="1"/>
    <col min="3" max="3" width="36" bestFit="1" customWidth="1"/>
    <col min="4" max="4" width="14" customWidth="1"/>
    <col min="5" max="5" width="17.42578125" bestFit="1" customWidth="1"/>
    <col min="6" max="6" width="45.710937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80</v>
      </c>
      <c r="D2" s="30"/>
    </row>
    <row r="3" spans="1:12" x14ac:dyDescent="0.25">
      <c r="B3" s="14" t="s">
        <v>14</v>
      </c>
      <c r="C3" s="30" t="s">
        <v>81</v>
      </c>
      <c r="D3" s="30"/>
    </row>
    <row r="4" spans="1:12" x14ac:dyDescent="0.25">
      <c r="B4" s="14" t="s">
        <v>31</v>
      </c>
      <c r="C4" s="30" t="s">
        <v>32</v>
      </c>
      <c r="D4" s="30"/>
      <c r="E4" s="14" t="s">
        <v>40</v>
      </c>
      <c r="F4" s="15" t="str">
        <f>B10</f>
        <v>Action</v>
      </c>
    </row>
    <row r="5" spans="1:12" x14ac:dyDescent="0.25">
      <c r="B5" s="14" t="s">
        <v>34</v>
      </c>
      <c r="C5" s="31" t="s">
        <v>33</v>
      </c>
      <c r="D5" s="31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109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110</v>
      </c>
    </row>
    <row r="9" spans="1:12" x14ac:dyDescent="0.25">
      <c r="B9" t="s">
        <v>77</v>
      </c>
      <c r="C9" t="s">
        <v>67</v>
      </c>
      <c r="D9" t="s">
        <v>30</v>
      </c>
      <c r="E9" t="s">
        <v>77</v>
      </c>
      <c r="F9" t="s">
        <v>8</v>
      </c>
      <c r="I9" t="s">
        <v>37</v>
      </c>
      <c r="J9" t="s">
        <v>111</v>
      </c>
    </row>
    <row r="10" spans="1:12" x14ac:dyDescent="0.25">
      <c r="B10" t="s">
        <v>78</v>
      </c>
      <c r="C10" t="s">
        <v>8</v>
      </c>
      <c r="D10" t="s">
        <v>30</v>
      </c>
      <c r="E10" t="s">
        <v>78</v>
      </c>
      <c r="F10" t="s">
        <v>8</v>
      </c>
      <c r="I10" t="s">
        <v>37</v>
      </c>
      <c r="J10" t="s">
        <v>112</v>
      </c>
    </row>
    <row r="11" spans="1:12" x14ac:dyDescent="0.25">
      <c r="B11" t="s">
        <v>79</v>
      </c>
      <c r="C11" t="s">
        <v>8</v>
      </c>
      <c r="D11" t="s">
        <v>30</v>
      </c>
      <c r="E11" t="s">
        <v>79</v>
      </c>
      <c r="F11" t="s">
        <v>8</v>
      </c>
      <c r="I11" t="s">
        <v>37</v>
      </c>
      <c r="J11" t="s">
        <v>113</v>
      </c>
    </row>
    <row r="12" spans="1:12" x14ac:dyDescent="0.25">
      <c r="B12" t="s">
        <v>84</v>
      </c>
      <c r="C12" t="s">
        <v>121</v>
      </c>
      <c r="E12" t="s">
        <v>84</v>
      </c>
      <c r="F12" t="s">
        <v>108</v>
      </c>
      <c r="I12" t="s">
        <v>37</v>
      </c>
      <c r="J12" t="s">
        <v>114</v>
      </c>
    </row>
    <row r="13" spans="1:12" x14ac:dyDescent="0.25">
      <c r="I13" t="s">
        <v>37</v>
      </c>
      <c r="J13" t="s">
        <v>115</v>
      </c>
    </row>
    <row r="14" spans="1:12" x14ac:dyDescent="0.25">
      <c r="I14" t="s">
        <v>37</v>
      </c>
      <c r="J14" t="s">
        <v>116</v>
      </c>
    </row>
    <row r="15" spans="1:12" x14ac:dyDescent="0.25">
      <c r="I15" t="s">
        <v>37</v>
      </c>
      <c r="J15" t="s">
        <v>117</v>
      </c>
    </row>
    <row r="16" spans="1:12" x14ac:dyDescent="0.25">
      <c r="I16" t="s">
        <v>37</v>
      </c>
      <c r="J16" t="s">
        <v>118</v>
      </c>
    </row>
    <row r="17" spans="9:10" x14ac:dyDescent="0.25">
      <c r="I17" t="s">
        <v>37</v>
      </c>
      <c r="J17" t="s">
        <v>119</v>
      </c>
    </row>
    <row r="19" spans="9:10" x14ac:dyDescent="0.25">
      <c r="I19" t="s">
        <v>57</v>
      </c>
      <c r="J19" t="s">
        <v>58</v>
      </c>
    </row>
    <row r="20" spans="9:10" x14ac:dyDescent="0.25">
      <c r="I20" t="s">
        <v>57</v>
      </c>
      <c r="J20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2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85</v>
      </c>
      <c r="D2" s="30"/>
    </row>
    <row r="3" spans="1:12" x14ac:dyDescent="0.25">
      <c r="B3" s="14" t="s">
        <v>14</v>
      </c>
      <c r="C3" s="30" t="s">
        <v>88</v>
      </c>
      <c r="D3" s="30"/>
    </row>
    <row r="4" spans="1:12" x14ac:dyDescent="0.25">
      <c r="B4" s="14" t="s">
        <v>31</v>
      </c>
      <c r="C4" s="30" t="s">
        <v>32</v>
      </c>
      <c r="D4" s="30"/>
      <c r="E4" s="14" t="s">
        <v>40</v>
      </c>
      <c r="F4" s="16" t="str">
        <f>B10</f>
        <v>AttachmentType</v>
      </c>
    </row>
    <row r="5" spans="1:12" x14ac:dyDescent="0.25">
      <c r="B5" s="14" t="s">
        <v>34</v>
      </c>
      <c r="C5" s="30" t="s">
        <v>33</v>
      </c>
      <c r="D5" s="30"/>
      <c r="E5" s="14" t="s">
        <v>35</v>
      </c>
      <c r="F5" s="16" t="s">
        <v>42</v>
      </c>
      <c r="G5" s="14" t="s">
        <v>36</v>
      </c>
      <c r="H5" s="16" t="s">
        <v>41</v>
      </c>
    </row>
    <row r="6" spans="1:12" x14ac:dyDescent="0.25">
      <c r="B6" s="13"/>
      <c r="D6" s="13"/>
      <c r="H6" s="16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90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91</v>
      </c>
    </row>
    <row r="9" spans="1:12" x14ac:dyDescent="0.2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92</v>
      </c>
    </row>
    <row r="10" spans="1:12" x14ac:dyDescent="0.25">
      <c r="B10" t="s">
        <v>87</v>
      </c>
      <c r="C10" t="s">
        <v>8</v>
      </c>
      <c r="D10" t="s">
        <v>30</v>
      </c>
      <c r="E10" t="s">
        <v>87</v>
      </c>
      <c r="F10" t="s">
        <v>8</v>
      </c>
      <c r="I10" t="s">
        <v>37</v>
      </c>
      <c r="J10" t="s">
        <v>93</v>
      </c>
    </row>
    <row r="11" spans="1:12" x14ac:dyDescent="0.25">
      <c r="I11" t="s">
        <v>37</v>
      </c>
      <c r="J11" t="s">
        <v>94</v>
      </c>
    </row>
    <row r="12" spans="1:12" x14ac:dyDescent="0.25">
      <c r="I12" t="s">
        <v>37</v>
      </c>
      <c r="J12" t="s">
        <v>95</v>
      </c>
    </row>
    <row r="13" spans="1:12" x14ac:dyDescent="0.25">
      <c r="I13" t="s">
        <v>37</v>
      </c>
      <c r="J13" t="s">
        <v>96</v>
      </c>
    </row>
    <row r="14" spans="1:12" x14ac:dyDescent="0.25">
      <c r="I14" t="s">
        <v>37</v>
      </c>
      <c r="J14" t="s">
        <v>97</v>
      </c>
    </row>
    <row r="15" spans="1:12" x14ac:dyDescent="0.25">
      <c r="I15" t="s">
        <v>37</v>
      </c>
      <c r="J15" t="s">
        <v>98</v>
      </c>
    </row>
    <row r="16" spans="1:12" x14ac:dyDescent="0.25">
      <c r="I16" t="s">
        <v>37</v>
      </c>
      <c r="J16" t="s">
        <v>99</v>
      </c>
    </row>
    <row r="17" spans="9:10" x14ac:dyDescent="0.25">
      <c r="I17" t="s">
        <v>37</v>
      </c>
      <c r="J17" t="s">
        <v>100</v>
      </c>
    </row>
    <row r="18" spans="9:10" x14ac:dyDescent="0.25">
      <c r="I18" t="s">
        <v>37</v>
      </c>
      <c r="J18" t="s">
        <v>101</v>
      </c>
    </row>
    <row r="19" spans="9:10" x14ac:dyDescent="0.25">
      <c r="I19" t="s">
        <v>37</v>
      </c>
      <c r="J19" t="s">
        <v>102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7"/>
  <sheetViews>
    <sheetView workbookViewId="0">
      <selection activeCell="C33" sqref="C33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142</v>
      </c>
      <c r="D2" s="30"/>
    </row>
    <row r="3" spans="1:12" x14ac:dyDescent="0.25">
      <c r="B3" s="14" t="s">
        <v>14</v>
      </c>
      <c r="C3" s="30" t="s">
        <v>143</v>
      </c>
      <c r="D3" s="30"/>
      <c r="F3" s="17" t="s">
        <v>42</v>
      </c>
      <c r="I3" s="14" t="s">
        <v>139</v>
      </c>
      <c r="J3" s="17" t="s">
        <v>140</v>
      </c>
    </row>
    <row r="4" spans="1:12" x14ac:dyDescent="0.25">
      <c r="B4" s="14" t="s">
        <v>31</v>
      </c>
      <c r="C4" s="30" t="s">
        <v>32</v>
      </c>
      <c r="D4" s="30"/>
      <c r="E4" s="14" t="s">
        <v>40</v>
      </c>
      <c r="F4" s="17">
        <f>B10</f>
        <v>0</v>
      </c>
      <c r="I4" s="14" t="s">
        <v>138</v>
      </c>
      <c r="J4" s="17" t="s">
        <v>141</v>
      </c>
    </row>
    <row r="5" spans="1:12" x14ac:dyDescent="0.25">
      <c r="B5" s="14" t="s">
        <v>34</v>
      </c>
      <c r="C5" s="30" t="s">
        <v>33</v>
      </c>
      <c r="D5" s="30"/>
      <c r="E5" s="14" t="s">
        <v>35</v>
      </c>
      <c r="G5" s="14" t="s">
        <v>36</v>
      </c>
      <c r="I5" s="14" t="s">
        <v>136</v>
      </c>
      <c r="K5" s="17" t="s">
        <v>137</v>
      </c>
    </row>
    <row r="6" spans="1:12" x14ac:dyDescent="0.25">
      <c r="B6" s="13"/>
      <c r="H6" s="17" t="s">
        <v>41</v>
      </c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144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145</v>
      </c>
    </row>
    <row r="9" spans="1:12" x14ac:dyDescent="0.2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146</v>
      </c>
    </row>
    <row r="10" spans="1:12" x14ac:dyDescent="0.25">
      <c r="I10" t="s">
        <v>37</v>
      </c>
      <c r="J10" t="s">
        <v>147</v>
      </c>
    </row>
    <row r="11" spans="1:12" x14ac:dyDescent="0.25">
      <c r="I11" t="s">
        <v>37</v>
      </c>
      <c r="J11" t="s">
        <v>148</v>
      </c>
    </row>
    <row r="12" spans="1:12" x14ac:dyDescent="0.25">
      <c r="I12" t="s">
        <v>37</v>
      </c>
      <c r="J12" t="s">
        <v>149</v>
      </c>
    </row>
    <row r="13" spans="1:12" x14ac:dyDescent="0.25">
      <c r="I13" t="s">
        <v>37</v>
      </c>
      <c r="J13" t="s">
        <v>150</v>
      </c>
    </row>
    <row r="14" spans="1:12" x14ac:dyDescent="0.25">
      <c r="I14" t="s">
        <v>37</v>
      </c>
      <c r="J14" t="s">
        <v>151</v>
      </c>
    </row>
    <row r="15" spans="1:12" x14ac:dyDescent="0.25">
      <c r="I15" t="s">
        <v>37</v>
      </c>
      <c r="J15" t="s">
        <v>152</v>
      </c>
    </row>
    <row r="17" spans="9:10" x14ac:dyDescent="0.25">
      <c r="I17" t="s">
        <v>57</v>
      </c>
      <c r="J17" t="s">
        <v>58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2"/>
  <sheetViews>
    <sheetView workbookViewId="0">
      <selection activeCell="G28" sqref="G28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153</v>
      </c>
      <c r="D2" s="30"/>
    </row>
    <row r="3" spans="1:12" x14ac:dyDescent="0.25">
      <c r="B3" s="14" t="s">
        <v>14</v>
      </c>
      <c r="C3" s="30" t="s">
        <v>154</v>
      </c>
      <c r="D3" s="30"/>
      <c r="F3" s="18" t="s">
        <v>42</v>
      </c>
      <c r="I3" s="14" t="s">
        <v>139</v>
      </c>
      <c r="J3" s="18" t="s">
        <v>140</v>
      </c>
    </row>
    <row r="4" spans="1:12" x14ac:dyDescent="0.25">
      <c r="B4" s="14" t="s">
        <v>31</v>
      </c>
      <c r="C4" s="30" t="s">
        <v>32</v>
      </c>
      <c r="D4" s="30"/>
      <c r="E4" s="14" t="s">
        <v>40</v>
      </c>
      <c r="F4" s="18">
        <f>B10</f>
        <v>0</v>
      </c>
      <c r="I4" s="14" t="s">
        <v>138</v>
      </c>
      <c r="J4" s="18" t="s">
        <v>141</v>
      </c>
    </row>
    <row r="5" spans="1:12" x14ac:dyDescent="0.25">
      <c r="B5" s="14" t="s">
        <v>34</v>
      </c>
      <c r="C5" s="30" t="s">
        <v>33</v>
      </c>
      <c r="D5" s="30"/>
      <c r="E5" s="14" t="s">
        <v>35</v>
      </c>
      <c r="G5" s="14" t="s">
        <v>36</v>
      </c>
      <c r="H5" s="18" t="s">
        <v>161</v>
      </c>
      <c r="I5" s="14" t="s">
        <v>136</v>
      </c>
      <c r="K5" s="18" t="s">
        <v>137</v>
      </c>
    </row>
    <row r="6" spans="1:12" x14ac:dyDescent="0.25">
      <c r="B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162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163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164</v>
      </c>
    </row>
    <row r="10" spans="1:12" x14ac:dyDescent="0.25">
      <c r="I10" t="s">
        <v>37</v>
      </c>
      <c r="J10" t="s">
        <v>165</v>
      </c>
    </row>
    <row r="11" spans="1:12" x14ac:dyDescent="0.25">
      <c r="I11" t="s">
        <v>37</v>
      </c>
      <c r="J11" t="s">
        <v>166</v>
      </c>
    </row>
    <row r="12" spans="1:12" x14ac:dyDescent="0.25">
      <c r="I12" t="s">
        <v>37</v>
      </c>
      <c r="J12" t="s">
        <v>167</v>
      </c>
    </row>
    <row r="13" spans="1:12" x14ac:dyDescent="0.25">
      <c r="I13" t="s">
        <v>37</v>
      </c>
      <c r="J13" t="s">
        <v>168</v>
      </c>
    </row>
    <row r="14" spans="1:12" x14ac:dyDescent="0.25">
      <c r="I14" t="s">
        <v>37</v>
      </c>
      <c r="J14" t="s">
        <v>169</v>
      </c>
    </row>
    <row r="15" spans="1:12" x14ac:dyDescent="0.25">
      <c r="I15" t="s">
        <v>37</v>
      </c>
      <c r="J15" t="s">
        <v>170</v>
      </c>
    </row>
    <row r="16" spans="1:12" x14ac:dyDescent="0.25">
      <c r="I16" t="s">
        <v>37</v>
      </c>
      <c r="J16" t="s">
        <v>171</v>
      </c>
    </row>
    <row r="17" spans="9:10" x14ac:dyDescent="0.25">
      <c r="I17" t="s">
        <v>37</v>
      </c>
      <c r="J17" t="s">
        <v>172</v>
      </c>
    </row>
    <row r="18" spans="9:10" x14ac:dyDescent="0.25">
      <c r="I18" t="s">
        <v>37</v>
      </c>
      <c r="J18" t="s">
        <v>173</v>
      </c>
    </row>
    <row r="19" spans="9:10" x14ac:dyDescent="0.25">
      <c r="I19" t="s">
        <v>37</v>
      </c>
      <c r="J19" t="s">
        <v>174</v>
      </c>
    </row>
    <row r="20" spans="9:10" x14ac:dyDescent="0.25">
      <c r="I20" t="s">
        <v>57</v>
      </c>
      <c r="J20" t="s">
        <v>58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2"/>
  <sheetViews>
    <sheetView workbookViewId="0">
      <selection activeCell="B14" sqref="B14:F14"/>
    </sheetView>
  </sheetViews>
  <sheetFormatPr defaultRowHeight="15" x14ac:dyDescent="0.25"/>
  <cols>
    <col min="1" max="1" width="2.42578125" customWidth="1"/>
    <col min="2" max="2" width="19.85546875" customWidth="1"/>
    <col min="3" max="3" width="36" bestFit="1" customWidth="1"/>
    <col min="4" max="4" width="14" customWidth="1"/>
    <col min="5" max="5" width="17.42578125" bestFit="1" customWidth="1"/>
    <col min="6" max="6" width="22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155</v>
      </c>
      <c r="D2" s="30"/>
    </row>
    <row r="3" spans="1:12" x14ac:dyDescent="0.25">
      <c r="B3" s="14" t="s">
        <v>14</v>
      </c>
      <c r="C3" s="30" t="s">
        <v>188</v>
      </c>
      <c r="D3" s="30"/>
      <c r="F3" s="18" t="s">
        <v>42</v>
      </c>
      <c r="I3" s="14" t="s">
        <v>139</v>
      </c>
      <c r="J3" s="18" t="s">
        <v>140</v>
      </c>
    </row>
    <row r="4" spans="1:12" x14ac:dyDescent="0.25">
      <c r="B4" s="14" t="s">
        <v>31</v>
      </c>
      <c r="C4" s="30" t="s">
        <v>32</v>
      </c>
      <c r="D4" s="30"/>
      <c r="E4" s="14" t="s">
        <v>40</v>
      </c>
      <c r="F4" s="18" t="str">
        <f>B10</f>
        <v>Category</v>
      </c>
      <c r="I4" s="14" t="s">
        <v>138</v>
      </c>
      <c r="J4" s="18" t="s">
        <v>141</v>
      </c>
    </row>
    <row r="5" spans="1:12" x14ac:dyDescent="0.25">
      <c r="B5" s="14" t="s">
        <v>34</v>
      </c>
      <c r="C5" s="30" t="s">
        <v>33</v>
      </c>
      <c r="D5" s="30"/>
      <c r="E5" s="14" t="s">
        <v>35</v>
      </c>
      <c r="G5" s="14" t="s">
        <v>36</v>
      </c>
      <c r="H5" s="19" t="s">
        <v>161</v>
      </c>
      <c r="I5" s="14" t="s">
        <v>136</v>
      </c>
      <c r="K5" s="18" t="s">
        <v>137</v>
      </c>
    </row>
    <row r="6" spans="1:12" x14ac:dyDescent="0.25">
      <c r="B6" s="13"/>
      <c r="H6" s="18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175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176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177</v>
      </c>
    </row>
    <row r="10" spans="1:12" x14ac:dyDescent="0.25">
      <c r="B10" t="s">
        <v>156</v>
      </c>
      <c r="C10" t="s">
        <v>157</v>
      </c>
      <c r="D10" t="s">
        <v>30</v>
      </c>
      <c r="E10" t="s">
        <v>156</v>
      </c>
      <c r="F10" t="s">
        <v>8</v>
      </c>
      <c r="I10" t="s">
        <v>37</v>
      </c>
      <c r="J10" t="s">
        <v>178</v>
      </c>
    </row>
    <row r="11" spans="1:12" x14ac:dyDescent="0.25">
      <c r="B11" t="s">
        <v>158</v>
      </c>
      <c r="C11" t="s">
        <v>8</v>
      </c>
      <c r="D11" t="s">
        <v>30</v>
      </c>
      <c r="E11" t="s">
        <v>158</v>
      </c>
      <c r="F11" t="s">
        <v>8</v>
      </c>
      <c r="I11" t="s">
        <v>37</v>
      </c>
      <c r="J11" t="s">
        <v>179</v>
      </c>
    </row>
    <row r="12" spans="1:12" x14ac:dyDescent="0.25">
      <c r="B12" t="s">
        <v>159</v>
      </c>
      <c r="C12" t="s">
        <v>134</v>
      </c>
      <c r="E12" t="s">
        <v>159</v>
      </c>
      <c r="F12" t="s">
        <v>71</v>
      </c>
      <c r="I12" t="s">
        <v>37</v>
      </c>
      <c r="J12" t="s">
        <v>180</v>
      </c>
    </row>
    <row r="13" spans="1:12" x14ac:dyDescent="0.25">
      <c r="B13" t="s">
        <v>160</v>
      </c>
      <c r="C13" t="s">
        <v>134</v>
      </c>
      <c r="E13" t="s">
        <v>160</v>
      </c>
      <c r="F13" t="s">
        <v>71</v>
      </c>
      <c r="I13" t="s">
        <v>37</v>
      </c>
      <c r="J13" t="s">
        <v>181</v>
      </c>
    </row>
    <row r="14" spans="1:12" x14ac:dyDescent="0.25">
      <c r="B14" s="23" t="s">
        <v>212</v>
      </c>
      <c r="C14" s="24" t="s">
        <v>213</v>
      </c>
      <c r="D14" s="24"/>
      <c r="E14" s="23" t="s">
        <v>212</v>
      </c>
      <c r="F14" s="25" t="s">
        <v>214</v>
      </c>
      <c r="I14" t="s">
        <v>37</v>
      </c>
      <c r="J14" t="s">
        <v>182</v>
      </c>
    </row>
    <row r="15" spans="1:12" x14ac:dyDescent="0.25">
      <c r="I15" t="s">
        <v>37</v>
      </c>
      <c r="J15" t="s">
        <v>183</v>
      </c>
    </row>
    <row r="16" spans="1:12" x14ac:dyDescent="0.25">
      <c r="I16" t="s">
        <v>37</v>
      </c>
      <c r="J16" t="s">
        <v>184</v>
      </c>
    </row>
    <row r="17" spans="9:10" x14ac:dyDescent="0.25">
      <c r="I17" t="s">
        <v>37</v>
      </c>
      <c r="J17" t="s">
        <v>185</v>
      </c>
    </row>
    <row r="18" spans="9:10" x14ac:dyDescent="0.25">
      <c r="I18" t="s">
        <v>37</v>
      </c>
      <c r="J18" t="s">
        <v>186</v>
      </c>
    </row>
    <row r="19" spans="9:10" x14ac:dyDescent="0.25">
      <c r="I19" t="s">
        <v>37</v>
      </c>
      <c r="J19" t="s">
        <v>187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189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22"/>
  <sheetViews>
    <sheetView zoomScale="90" zoomScaleNormal="90" workbookViewId="0">
      <selection activeCell="F32" sqref="F32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47.85546875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190</v>
      </c>
      <c r="D2" s="30"/>
    </row>
    <row r="3" spans="1:12" x14ac:dyDescent="0.25">
      <c r="B3" s="14" t="s">
        <v>14</v>
      </c>
      <c r="C3" s="30" t="s">
        <v>191</v>
      </c>
      <c r="D3" s="30"/>
      <c r="F3" s="20" t="s">
        <v>42</v>
      </c>
      <c r="I3" s="14" t="s">
        <v>139</v>
      </c>
      <c r="J3" s="20" t="s">
        <v>140</v>
      </c>
    </row>
    <row r="4" spans="1:12" x14ac:dyDescent="0.25">
      <c r="B4" s="14" t="s">
        <v>31</v>
      </c>
      <c r="C4" s="30" t="s">
        <v>192</v>
      </c>
      <c r="D4" s="30"/>
      <c r="E4" s="14" t="s">
        <v>40</v>
      </c>
      <c r="F4" s="20" t="str">
        <f>B9</f>
        <v>Title</v>
      </c>
      <c r="I4" s="14" t="s">
        <v>138</v>
      </c>
      <c r="J4" s="20" t="s">
        <v>141</v>
      </c>
    </row>
    <row r="5" spans="1:12" x14ac:dyDescent="0.25">
      <c r="B5" s="14" t="s">
        <v>34</v>
      </c>
      <c r="C5" s="32" t="s">
        <v>193</v>
      </c>
      <c r="D5" s="33"/>
      <c r="E5" s="14" t="s">
        <v>35</v>
      </c>
      <c r="G5" s="14" t="s">
        <v>36</v>
      </c>
      <c r="H5" s="20" t="s">
        <v>194</v>
      </c>
      <c r="I5" s="14" t="s">
        <v>136</v>
      </c>
      <c r="K5" s="20"/>
    </row>
    <row r="6" spans="1:12" x14ac:dyDescent="0.25">
      <c r="B6" s="13"/>
      <c r="H6" s="20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195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196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197</v>
      </c>
    </row>
    <row r="10" spans="1:12" x14ac:dyDescent="0.25">
      <c r="I10" t="s">
        <v>37</v>
      </c>
      <c r="J10" t="s">
        <v>198</v>
      </c>
    </row>
    <row r="11" spans="1:12" x14ac:dyDescent="0.25">
      <c r="I11" t="s">
        <v>37</v>
      </c>
      <c r="J11" t="s">
        <v>199</v>
      </c>
    </row>
    <row r="12" spans="1:12" x14ac:dyDescent="0.25">
      <c r="I12" t="s">
        <v>37</v>
      </c>
      <c r="J12" t="s">
        <v>200</v>
      </c>
    </row>
    <row r="13" spans="1:12" x14ac:dyDescent="0.25">
      <c r="I13" t="s">
        <v>37</v>
      </c>
      <c r="J13" t="s">
        <v>201</v>
      </c>
    </row>
    <row r="14" spans="1:12" x14ac:dyDescent="0.25">
      <c r="I14" t="s">
        <v>37</v>
      </c>
      <c r="J14" t="s">
        <v>202</v>
      </c>
    </row>
    <row r="15" spans="1:12" x14ac:dyDescent="0.25">
      <c r="I15" t="s">
        <v>37</v>
      </c>
      <c r="J15" t="s">
        <v>203</v>
      </c>
    </row>
    <row r="16" spans="1:12" x14ac:dyDescent="0.25">
      <c r="I16" t="s">
        <v>37</v>
      </c>
      <c r="J16" t="s">
        <v>204</v>
      </c>
    </row>
    <row r="17" spans="9:10" x14ac:dyDescent="0.25">
      <c r="I17" t="s">
        <v>37</v>
      </c>
      <c r="J17" t="s">
        <v>205</v>
      </c>
    </row>
    <row r="18" spans="9:10" x14ac:dyDescent="0.25">
      <c r="I18" t="s">
        <v>37</v>
      </c>
      <c r="J18" t="s">
        <v>206</v>
      </c>
    </row>
    <row r="19" spans="9:10" x14ac:dyDescent="0.25">
      <c r="I19" t="s">
        <v>37</v>
      </c>
      <c r="J19" t="s">
        <v>207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2"/>
  <sheetViews>
    <sheetView workbookViewId="0">
      <selection activeCell="E9" sqref="E9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25.140625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17</v>
      </c>
      <c r="D2" s="30"/>
    </row>
    <row r="3" spans="1:12" x14ac:dyDescent="0.25">
      <c r="B3" s="14" t="s">
        <v>14</v>
      </c>
      <c r="C3" s="30" t="s">
        <v>18</v>
      </c>
      <c r="D3" s="30"/>
      <c r="F3" s="22" t="s">
        <v>42</v>
      </c>
      <c r="I3" s="14" t="s">
        <v>139</v>
      </c>
      <c r="J3" s="22" t="s">
        <v>140</v>
      </c>
    </row>
    <row r="4" spans="1:12" x14ac:dyDescent="0.25">
      <c r="B4" s="14" t="s">
        <v>31</v>
      </c>
      <c r="C4" s="30" t="s">
        <v>192</v>
      </c>
      <c r="D4" s="30"/>
      <c r="E4" s="14" t="s">
        <v>40</v>
      </c>
      <c r="F4" s="22" t="str">
        <f>B9</f>
        <v>Title</v>
      </c>
      <c r="I4" s="14" t="s">
        <v>138</v>
      </c>
      <c r="J4" s="22" t="s">
        <v>141</v>
      </c>
    </row>
    <row r="5" spans="1:12" x14ac:dyDescent="0.25">
      <c r="B5" s="14" t="s">
        <v>34</v>
      </c>
      <c r="C5" s="32" t="s">
        <v>193</v>
      </c>
      <c r="D5" s="33"/>
      <c r="E5" s="14" t="s">
        <v>35</v>
      </c>
      <c r="G5" s="14" t="s">
        <v>36</v>
      </c>
      <c r="H5" s="22" t="s">
        <v>194</v>
      </c>
      <c r="I5" s="14" t="s">
        <v>136</v>
      </c>
      <c r="K5" s="22"/>
    </row>
    <row r="6" spans="1:12" x14ac:dyDescent="0.25">
      <c r="B6" s="13"/>
      <c r="H6" s="22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234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235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236</v>
      </c>
    </row>
    <row r="10" spans="1:12" x14ac:dyDescent="0.25">
      <c r="B10" t="s">
        <v>229</v>
      </c>
      <c r="C10" t="s">
        <v>7</v>
      </c>
      <c r="E10" t="s">
        <v>229</v>
      </c>
      <c r="F10" t="s">
        <v>8</v>
      </c>
      <c r="I10" t="s">
        <v>37</v>
      </c>
      <c r="J10" t="s">
        <v>237</v>
      </c>
    </row>
    <row r="11" spans="1:12" x14ac:dyDescent="0.25">
      <c r="B11" t="s">
        <v>230</v>
      </c>
      <c r="C11" t="s">
        <v>8</v>
      </c>
      <c r="E11" t="s">
        <v>230</v>
      </c>
      <c r="F11" t="s">
        <v>8</v>
      </c>
      <c r="I11" t="s">
        <v>37</v>
      </c>
      <c r="J11" t="s">
        <v>238</v>
      </c>
    </row>
    <row r="12" spans="1:12" x14ac:dyDescent="0.25">
      <c r="B12" t="s">
        <v>231</v>
      </c>
      <c r="C12" t="s">
        <v>8</v>
      </c>
      <c r="E12" t="s">
        <v>231</v>
      </c>
      <c r="F12" t="s">
        <v>8</v>
      </c>
      <c r="I12" t="s">
        <v>37</v>
      </c>
      <c r="J12" t="s">
        <v>239</v>
      </c>
    </row>
    <row r="13" spans="1:12" x14ac:dyDescent="0.25">
      <c r="B13" t="s">
        <v>232</v>
      </c>
      <c r="C13" t="s">
        <v>8</v>
      </c>
      <c r="E13" t="s">
        <v>232</v>
      </c>
      <c r="F13" t="s">
        <v>8</v>
      </c>
      <c r="I13" t="s">
        <v>37</v>
      </c>
      <c r="J13" t="s">
        <v>240</v>
      </c>
    </row>
    <row r="14" spans="1:12" x14ac:dyDescent="0.25">
      <c r="B14" t="s">
        <v>233</v>
      </c>
      <c r="C14" t="s">
        <v>8</v>
      </c>
      <c r="E14" t="s">
        <v>233</v>
      </c>
      <c r="F14" t="s">
        <v>8</v>
      </c>
      <c r="I14" t="s">
        <v>37</v>
      </c>
      <c r="J14" t="s">
        <v>241</v>
      </c>
    </row>
    <row r="15" spans="1:12" x14ac:dyDescent="0.25">
      <c r="I15" t="s">
        <v>37</v>
      </c>
      <c r="J15" t="s">
        <v>242</v>
      </c>
    </row>
    <row r="16" spans="1:12" x14ac:dyDescent="0.25">
      <c r="I16" t="s">
        <v>37</v>
      </c>
      <c r="J16" t="s">
        <v>243</v>
      </c>
    </row>
    <row r="17" spans="9:10" x14ac:dyDescent="0.25">
      <c r="I17" t="s">
        <v>37</v>
      </c>
      <c r="J17" t="s">
        <v>244</v>
      </c>
    </row>
    <row r="18" spans="9:10" x14ac:dyDescent="0.25">
      <c r="I18" t="s">
        <v>37</v>
      </c>
      <c r="J18" t="s">
        <v>245</v>
      </c>
    </row>
    <row r="19" spans="9:10" x14ac:dyDescent="0.25">
      <c r="I19" t="s">
        <v>37</v>
      </c>
      <c r="J19" t="s">
        <v>246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22"/>
  <sheetViews>
    <sheetView workbookViewId="0">
      <selection activeCell="D23"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210</v>
      </c>
      <c r="D2" s="30"/>
    </row>
    <row r="3" spans="1:12" x14ac:dyDescent="0.25">
      <c r="B3" s="14" t="s">
        <v>14</v>
      </c>
      <c r="C3" s="30" t="s">
        <v>211</v>
      </c>
      <c r="D3" s="30"/>
      <c r="F3" s="21" t="s">
        <v>42</v>
      </c>
      <c r="I3" s="14" t="s">
        <v>139</v>
      </c>
      <c r="J3" s="21"/>
    </row>
    <row r="4" spans="1:12" x14ac:dyDescent="0.25">
      <c r="B4" s="14" t="s">
        <v>31</v>
      </c>
      <c r="C4" s="30" t="s">
        <v>192</v>
      </c>
      <c r="D4" s="30"/>
      <c r="E4" s="14" t="s">
        <v>40</v>
      </c>
      <c r="F4" s="21" t="str">
        <f>B9</f>
        <v>Title</v>
      </c>
      <c r="I4" s="14" t="s">
        <v>138</v>
      </c>
      <c r="J4" s="21" t="s">
        <v>141</v>
      </c>
    </row>
    <row r="5" spans="1:12" x14ac:dyDescent="0.25">
      <c r="B5" s="14" t="s">
        <v>34</v>
      </c>
      <c r="C5" s="32" t="s">
        <v>193</v>
      </c>
      <c r="D5" s="33"/>
      <c r="E5" s="14" t="s">
        <v>35</v>
      </c>
      <c r="G5" s="14" t="s">
        <v>36</v>
      </c>
      <c r="H5" s="21" t="s">
        <v>194</v>
      </c>
      <c r="I5" s="14" t="s">
        <v>136</v>
      </c>
      <c r="K5" s="21"/>
    </row>
    <row r="6" spans="1:12" x14ac:dyDescent="0.25">
      <c r="B6" s="13"/>
      <c r="H6" s="21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216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217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218</v>
      </c>
    </row>
    <row r="10" spans="1:12" x14ac:dyDescent="0.25">
      <c r="B10" s="23" t="s">
        <v>212</v>
      </c>
      <c r="C10" s="24" t="s">
        <v>215</v>
      </c>
      <c r="D10" s="24"/>
      <c r="E10" s="23" t="s">
        <v>212</v>
      </c>
      <c r="F10" s="25" t="s">
        <v>214</v>
      </c>
      <c r="I10" t="s">
        <v>37</v>
      </c>
      <c r="J10" t="s">
        <v>219</v>
      </c>
    </row>
    <row r="11" spans="1:12" x14ac:dyDescent="0.25">
      <c r="B11" t="s">
        <v>4</v>
      </c>
      <c r="C11" t="s">
        <v>8</v>
      </c>
      <c r="D11" t="s">
        <v>30</v>
      </c>
      <c r="E11" t="s">
        <v>4</v>
      </c>
      <c r="F11" t="s">
        <v>8</v>
      </c>
      <c r="I11" t="s">
        <v>37</v>
      </c>
      <c r="J11" t="s">
        <v>220</v>
      </c>
    </row>
    <row r="12" spans="1:12" x14ac:dyDescent="0.25">
      <c r="B12" t="s">
        <v>5</v>
      </c>
      <c r="C12" t="s">
        <v>8</v>
      </c>
      <c r="D12" t="s">
        <v>30</v>
      </c>
      <c r="E12" t="s">
        <v>5</v>
      </c>
      <c r="F12" t="s">
        <v>8</v>
      </c>
      <c r="I12" t="s">
        <v>37</v>
      </c>
      <c r="J12" t="s">
        <v>221</v>
      </c>
    </row>
    <row r="13" spans="1:12" x14ac:dyDescent="0.25">
      <c r="I13" t="s">
        <v>37</v>
      </c>
      <c r="J13" t="s">
        <v>222</v>
      </c>
    </row>
    <row r="14" spans="1:12" x14ac:dyDescent="0.25">
      <c r="I14" t="s">
        <v>37</v>
      </c>
      <c r="J14" t="s">
        <v>223</v>
      </c>
    </row>
    <row r="15" spans="1:12" x14ac:dyDescent="0.25">
      <c r="I15" t="s">
        <v>37</v>
      </c>
      <c r="J15" t="s">
        <v>224</v>
      </c>
    </row>
    <row r="16" spans="1:12" x14ac:dyDescent="0.25">
      <c r="I16" t="s">
        <v>37</v>
      </c>
      <c r="J16" t="s">
        <v>225</v>
      </c>
    </row>
    <row r="17" spans="9:10" x14ac:dyDescent="0.25">
      <c r="I17" t="s">
        <v>37</v>
      </c>
      <c r="J17" t="s">
        <v>226</v>
      </c>
    </row>
    <row r="18" spans="9:10" x14ac:dyDescent="0.25">
      <c r="I18" t="s">
        <v>37</v>
      </c>
      <c r="J18" t="s">
        <v>227</v>
      </c>
    </row>
    <row r="19" spans="9:10" x14ac:dyDescent="0.25">
      <c r="I19" t="s">
        <v>37</v>
      </c>
      <c r="J19" t="s">
        <v>228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2"/>
  <sheetViews>
    <sheetView zoomScale="90" zoomScaleNormal="90" workbookViewId="0">
      <selection activeCell="F30" sqref="F3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318</v>
      </c>
      <c r="D2" s="30"/>
    </row>
    <row r="3" spans="1:12" x14ac:dyDescent="0.25">
      <c r="B3" s="14" t="s">
        <v>14</v>
      </c>
      <c r="C3" s="30" t="s">
        <v>319</v>
      </c>
      <c r="D3" s="30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0" t="s">
        <v>247</v>
      </c>
      <c r="D4" s="30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2" t="s">
        <v>250</v>
      </c>
      <c r="D5" s="33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320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321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322</v>
      </c>
    </row>
    <row r="10" spans="1:12" x14ac:dyDescent="0.25">
      <c r="I10" t="s">
        <v>37</v>
      </c>
      <c r="J10" s="29" t="s">
        <v>323</v>
      </c>
    </row>
    <row r="11" spans="1:12" x14ac:dyDescent="0.25">
      <c r="I11" t="s">
        <v>37</v>
      </c>
      <c r="J11" s="29" t="s">
        <v>324</v>
      </c>
    </row>
    <row r="12" spans="1:12" x14ac:dyDescent="0.25">
      <c r="I12" t="s">
        <v>37</v>
      </c>
      <c r="J12" s="29" t="s">
        <v>325</v>
      </c>
    </row>
    <row r="13" spans="1:12" x14ac:dyDescent="0.25">
      <c r="I13" t="s">
        <v>37</v>
      </c>
      <c r="J13" s="29" t="s">
        <v>326</v>
      </c>
    </row>
    <row r="14" spans="1:12" x14ac:dyDescent="0.25">
      <c r="I14" t="s">
        <v>37</v>
      </c>
      <c r="J14" s="29" t="s">
        <v>327</v>
      </c>
    </row>
    <row r="15" spans="1:12" x14ac:dyDescent="0.25">
      <c r="I15" t="s">
        <v>37</v>
      </c>
      <c r="J15" s="29" t="s">
        <v>328</v>
      </c>
    </row>
    <row r="16" spans="1:12" x14ac:dyDescent="0.25">
      <c r="I16" t="s">
        <v>37</v>
      </c>
      <c r="J16" s="29" t="s">
        <v>329</v>
      </c>
    </row>
    <row r="17" spans="9:10" x14ac:dyDescent="0.25">
      <c r="I17" t="s">
        <v>37</v>
      </c>
      <c r="J17" s="29" t="s">
        <v>330</v>
      </c>
    </row>
    <row r="18" spans="9:10" x14ac:dyDescent="0.25">
      <c r="I18" t="s">
        <v>37</v>
      </c>
      <c r="J18" s="29" t="s">
        <v>331</v>
      </c>
    </row>
    <row r="19" spans="9:10" x14ac:dyDescent="0.25">
      <c r="I19" t="s">
        <v>37</v>
      </c>
      <c r="J19" s="29" t="s">
        <v>332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2"/>
  <sheetViews>
    <sheetView zoomScale="90" zoomScaleNormal="90" workbookViewId="0">
      <selection activeCell="F25" sqref="F25"/>
    </sheetView>
  </sheetViews>
  <sheetFormatPr defaultRowHeight="15" x14ac:dyDescent="0.25"/>
  <cols>
    <col min="1" max="1" width="2.42578125" customWidth="1"/>
    <col min="2" max="2" width="20.7109375" customWidth="1"/>
    <col min="3" max="3" width="27.7109375" bestFit="1" customWidth="1"/>
    <col min="4" max="4" width="23" customWidth="1"/>
    <col min="5" max="5" width="20.710937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253</v>
      </c>
      <c r="D2" s="30"/>
    </row>
    <row r="3" spans="1:12" x14ac:dyDescent="0.25">
      <c r="B3" s="14" t="s">
        <v>14</v>
      </c>
      <c r="C3" s="30" t="s">
        <v>254</v>
      </c>
      <c r="D3" s="30"/>
      <c r="F3" s="27" t="s">
        <v>249</v>
      </c>
      <c r="I3" s="14" t="s">
        <v>139</v>
      </c>
      <c r="J3" s="26"/>
    </row>
    <row r="4" spans="1:12" x14ac:dyDescent="0.25">
      <c r="B4" s="14" t="s">
        <v>31</v>
      </c>
      <c r="C4" s="30" t="s">
        <v>247</v>
      </c>
      <c r="D4" s="30"/>
      <c r="E4" s="14" t="s">
        <v>40</v>
      </c>
      <c r="F4" s="26" t="str">
        <f>B9</f>
        <v>UserId</v>
      </c>
      <c r="I4" s="14" t="s">
        <v>138</v>
      </c>
      <c r="J4" s="26" t="s">
        <v>141</v>
      </c>
    </row>
    <row r="5" spans="1:12" x14ac:dyDescent="0.25">
      <c r="B5" s="14" t="s">
        <v>34</v>
      </c>
      <c r="C5" s="32" t="s">
        <v>250</v>
      </c>
      <c r="D5" s="33"/>
      <c r="E5" s="14" t="s">
        <v>35</v>
      </c>
      <c r="G5" s="14" t="s">
        <v>36</v>
      </c>
      <c r="H5" s="26" t="s">
        <v>248</v>
      </c>
      <c r="I5" s="14" t="s">
        <v>136</v>
      </c>
      <c r="K5" s="26"/>
    </row>
    <row r="6" spans="1:12" x14ac:dyDescent="0.25">
      <c r="B6" s="13"/>
      <c r="H6" s="26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255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256</v>
      </c>
    </row>
    <row r="9" spans="1:12" ht="15.75" customHeight="1" x14ac:dyDescent="0.25">
      <c r="B9" t="s">
        <v>316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257</v>
      </c>
    </row>
    <row r="10" spans="1:12" x14ac:dyDescent="0.25">
      <c r="B10" t="s">
        <v>317</v>
      </c>
      <c r="C10" t="s">
        <v>8</v>
      </c>
      <c r="D10" t="s">
        <v>30</v>
      </c>
      <c r="E10" t="s">
        <v>317</v>
      </c>
      <c r="F10" t="s">
        <v>8</v>
      </c>
      <c r="I10" t="s">
        <v>37</v>
      </c>
      <c r="J10" s="29" t="s">
        <v>258</v>
      </c>
    </row>
    <row r="11" spans="1:12" x14ac:dyDescent="0.25">
      <c r="I11" t="s">
        <v>37</v>
      </c>
      <c r="J11" s="29" t="s">
        <v>259</v>
      </c>
    </row>
    <row r="12" spans="1:12" x14ac:dyDescent="0.25">
      <c r="I12" t="s">
        <v>37</v>
      </c>
      <c r="J12" s="29" t="s">
        <v>260</v>
      </c>
    </row>
    <row r="13" spans="1:12" x14ac:dyDescent="0.25">
      <c r="I13" t="s">
        <v>37</v>
      </c>
      <c r="J13" s="29" t="s">
        <v>261</v>
      </c>
    </row>
    <row r="14" spans="1:12" x14ac:dyDescent="0.25">
      <c r="I14" t="s">
        <v>37</v>
      </c>
      <c r="J14" s="29" t="s">
        <v>262</v>
      </c>
    </row>
    <row r="15" spans="1:12" x14ac:dyDescent="0.25">
      <c r="I15" t="s">
        <v>37</v>
      </c>
      <c r="J15" s="29" t="s">
        <v>263</v>
      </c>
    </row>
    <row r="16" spans="1:12" x14ac:dyDescent="0.25">
      <c r="I16" t="s">
        <v>37</v>
      </c>
      <c r="J16" s="29" t="s">
        <v>264</v>
      </c>
    </row>
    <row r="17" spans="9:10" x14ac:dyDescent="0.25">
      <c r="I17" t="s">
        <v>37</v>
      </c>
      <c r="J17" s="29" t="s">
        <v>265</v>
      </c>
    </row>
    <row r="18" spans="9:10" x14ac:dyDescent="0.25">
      <c r="I18" t="s">
        <v>37</v>
      </c>
      <c r="J18" s="29" t="s">
        <v>266</v>
      </c>
    </row>
    <row r="19" spans="9:10" x14ac:dyDescent="0.25">
      <c r="I19" t="s">
        <v>37</v>
      </c>
      <c r="J19" s="29" t="s">
        <v>267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22"/>
  <sheetViews>
    <sheetView zoomScale="90" zoomScaleNormal="90" workbookViewId="0">
      <selection activeCell="D21" sqref="D21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269</v>
      </c>
      <c r="D2" s="30"/>
    </row>
    <row r="3" spans="1:12" x14ac:dyDescent="0.25">
      <c r="B3" s="14" t="s">
        <v>14</v>
      </c>
      <c r="C3" s="30" t="s">
        <v>283</v>
      </c>
      <c r="D3" s="30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0" t="s">
        <v>247</v>
      </c>
      <c r="D4" s="30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2" t="s">
        <v>250</v>
      </c>
      <c r="D5" s="33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270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271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272</v>
      </c>
    </row>
    <row r="10" spans="1:12" x14ac:dyDescent="0.25">
      <c r="B10" t="s">
        <v>333</v>
      </c>
      <c r="C10" t="s">
        <v>8</v>
      </c>
      <c r="D10" t="s">
        <v>30</v>
      </c>
      <c r="E10" t="s">
        <v>333</v>
      </c>
      <c r="F10" t="s">
        <v>8</v>
      </c>
      <c r="I10" t="s">
        <v>37</v>
      </c>
      <c r="J10" s="29" t="s">
        <v>273</v>
      </c>
    </row>
    <row r="11" spans="1:12" x14ac:dyDescent="0.25">
      <c r="B11" t="s">
        <v>2</v>
      </c>
      <c r="C11" t="s">
        <v>8</v>
      </c>
      <c r="D11" t="s">
        <v>30</v>
      </c>
      <c r="E11" t="s">
        <v>2</v>
      </c>
      <c r="F11" t="s">
        <v>8</v>
      </c>
      <c r="I11" t="s">
        <v>37</v>
      </c>
      <c r="J11" s="29" t="s">
        <v>274</v>
      </c>
    </row>
    <row r="12" spans="1:12" x14ac:dyDescent="0.25">
      <c r="I12" t="s">
        <v>37</v>
      </c>
      <c r="J12" s="29" t="s">
        <v>275</v>
      </c>
    </row>
    <row r="13" spans="1:12" x14ac:dyDescent="0.25">
      <c r="I13" t="s">
        <v>37</v>
      </c>
      <c r="J13" s="29" t="s">
        <v>276</v>
      </c>
    </row>
    <row r="14" spans="1:12" x14ac:dyDescent="0.25">
      <c r="I14" t="s">
        <v>37</v>
      </c>
      <c r="J14" s="29" t="s">
        <v>277</v>
      </c>
    </row>
    <row r="15" spans="1:12" x14ac:dyDescent="0.25">
      <c r="I15" t="s">
        <v>37</v>
      </c>
      <c r="J15" s="29" t="s">
        <v>278</v>
      </c>
    </row>
    <row r="16" spans="1:12" x14ac:dyDescent="0.25">
      <c r="I16" t="s">
        <v>37</v>
      </c>
      <c r="J16" s="29" t="s">
        <v>279</v>
      </c>
    </row>
    <row r="17" spans="9:10" x14ac:dyDescent="0.25">
      <c r="I17" t="s">
        <v>37</v>
      </c>
      <c r="J17" s="29" t="s">
        <v>280</v>
      </c>
    </row>
    <row r="18" spans="9:10" x14ac:dyDescent="0.25">
      <c r="I18" t="s">
        <v>37</v>
      </c>
      <c r="J18" s="29" t="s">
        <v>281</v>
      </c>
    </row>
    <row r="19" spans="9:10" x14ac:dyDescent="0.25">
      <c r="I19" t="s">
        <v>37</v>
      </c>
      <c r="J19" s="29" t="s">
        <v>282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284</v>
      </c>
      <c r="D2" s="30"/>
    </row>
    <row r="3" spans="1:12" x14ac:dyDescent="0.25">
      <c r="B3" s="14" t="s">
        <v>14</v>
      </c>
      <c r="C3" s="30" t="s">
        <v>285</v>
      </c>
      <c r="D3" s="30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0" t="s">
        <v>247</v>
      </c>
      <c r="D4" s="30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2" t="s">
        <v>250</v>
      </c>
      <c r="D5" s="33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286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287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288</v>
      </c>
    </row>
    <row r="10" spans="1:12" x14ac:dyDescent="0.25">
      <c r="B10" t="s">
        <v>268</v>
      </c>
      <c r="C10" t="s">
        <v>8</v>
      </c>
      <c r="D10" t="s">
        <v>30</v>
      </c>
      <c r="E10" t="s">
        <v>268</v>
      </c>
      <c r="F10" t="s">
        <v>8</v>
      </c>
      <c r="I10" t="s">
        <v>37</v>
      </c>
      <c r="J10" s="29" t="s">
        <v>289</v>
      </c>
    </row>
    <row r="11" spans="1:12" x14ac:dyDescent="0.25">
      <c r="I11" t="s">
        <v>37</v>
      </c>
      <c r="J11" s="29" t="s">
        <v>290</v>
      </c>
    </row>
    <row r="12" spans="1:12" x14ac:dyDescent="0.25">
      <c r="I12" t="s">
        <v>37</v>
      </c>
      <c r="J12" s="29" t="s">
        <v>291</v>
      </c>
    </row>
    <row r="13" spans="1:12" x14ac:dyDescent="0.25">
      <c r="I13" t="s">
        <v>37</v>
      </c>
      <c r="J13" s="29" t="s">
        <v>292</v>
      </c>
    </row>
    <row r="14" spans="1:12" x14ac:dyDescent="0.25">
      <c r="I14" t="s">
        <v>37</v>
      </c>
      <c r="J14" s="29" t="s">
        <v>293</v>
      </c>
    </row>
    <row r="15" spans="1:12" x14ac:dyDescent="0.25">
      <c r="I15" t="s">
        <v>37</v>
      </c>
      <c r="J15" s="29" t="s">
        <v>294</v>
      </c>
    </row>
    <row r="16" spans="1:12" x14ac:dyDescent="0.25">
      <c r="I16" t="s">
        <v>37</v>
      </c>
      <c r="J16" s="29" t="s">
        <v>295</v>
      </c>
    </row>
    <row r="17" spans="9:10" x14ac:dyDescent="0.25">
      <c r="I17" t="s">
        <v>37</v>
      </c>
      <c r="J17" s="29" t="s">
        <v>296</v>
      </c>
    </row>
    <row r="18" spans="9:10" x14ac:dyDescent="0.25">
      <c r="I18" t="s">
        <v>37</v>
      </c>
      <c r="J18" s="29" t="s">
        <v>297</v>
      </c>
    </row>
    <row r="19" spans="9:10" x14ac:dyDescent="0.25">
      <c r="I19" t="s">
        <v>37</v>
      </c>
      <c r="J19" s="29" t="s">
        <v>298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22"/>
  <sheetViews>
    <sheetView zoomScale="90" zoomScaleNormal="90" workbookViewId="0">
      <selection activeCell="H20" sqref="H2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299</v>
      </c>
      <c r="D2" s="30"/>
    </row>
    <row r="3" spans="1:12" x14ac:dyDescent="0.25">
      <c r="B3" s="14" t="s">
        <v>14</v>
      </c>
      <c r="C3" s="30" t="s">
        <v>300</v>
      </c>
      <c r="D3" s="30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0" t="s">
        <v>247</v>
      </c>
      <c r="D4" s="30"/>
      <c r="E4" s="14" t="s">
        <v>40</v>
      </c>
      <c r="F4" s="27" t="str">
        <f>B10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2" t="s">
        <v>250</v>
      </c>
      <c r="D5" s="33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303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304</v>
      </c>
    </row>
    <row r="9" spans="1:12" ht="14.25" customHeight="1" x14ac:dyDescent="0.25">
      <c r="B9" t="s">
        <v>301</v>
      </c>
      <c r="C9" t="s">
        <v>8</v>
      </c>
      <c r="D9" t="s">
        <v>30</v>
      </c>
      <c r="E9" t="s">
        <v>301</v>
      </c>
      <c r="F9" t="s">
        <v>8</v>
      </c>
      <c r="I9" t="s">
        <v>37</v>
      </c>
      <c r="J9" s="29" t="s">
        <v>305</v>
      </c>
    </row>
    <row r="10" spans="1:12" ht="15.75" customHeight="1" x14ac:dyDescent="0.25">
      <c r="B10" t="s">
        <v>1</v>
      </c>
      <c r="C10" t="s">
        <v>8</v>
      </c>
      <c r="D10" t="s">
        <v>30</v>
      </c>
      <c r="E10" t="s">
        <v>1</v>
      </c>
      <c r="F10" t="s">
        <v>8</v>
      </c>
      <c r="I10" t="s">
        <v>37</v>
      </c>
      <c r="J10" s="29" t="s">
        <v>306</v>
      </c>
    </row>
    <row r="11" spans="1:12" x14ac:dyDescent="0.25">
      <c r="B11" t="s">
        <v>302</v>
      </c>
      <c r="C11" t="s">
        <v>8</v>
      </c>
      <c r="D11" t="s">
        <v>30</v>
      </c>
      <c r="E11" t="s">
        <v>302</v>
      </c>
      <c r="F11" t="s">
        <v>8</v>
      </c>
      <c r="I11" t="s">
        <v>37</v>
      </c>
      <c r="J11" s="29" t="s">
        <v>307</v>
      </c>
    </row>
    <row r="12" spans="1:12" x14ac:dyDescent="0.25">
      <c r="B12" t="s">
        <v>268</v>
      </c>
      <c r="C12" t="s">
        <v>8</v>
      </c>
      <c r="D12" t="s">
        <v>30</v>
      </c>
      <c r="E12" t="s">
        <v>268</v>
      </c>
      <c r="F12" t="s">
        <v>8</v>
      </c>
      <c r="I12" t="s">
        <v>37</v>
      </c>
      <c r="J12" s="29" t="s">
        <v>308</v>
      </c>
    </row>
    <row r="13" spans="1:12" x14ac:dyDescent="0.25">
      <c r="I13" t="s">
        <v>37</v>
      </c>
      <c r="J13" s="29" t="s">
        <v>309</v>
      </c>
    </row>
    <row r="14" spans="1:12" x14ac:dyDescent="0.25">
      <c r="I14" t="s">
        <v>37</v>
      </c>
      <c r="J14" s="29" t="s">
        <v>310</v>
      </c>
    </row>
    <row r="15" spans="1:12" x14ac:dyDescent="0.25">
      <c r="I15" t="s">
        <v>37</v>
      </c>
      <c r="J15" s="29" t="s">
        <v>311</v>
      </c>
    </row>
    <row r="16" spans="1:12" x14ac:dyDescent="0.25">
      <c r="I16" t="s">
        <v>37</v>
      </c>
      <c r="J16" s="29" t="s">
        <v>312</v>
      </c>
    </row>
    <row r="17" spans="9:10" x14ac:dyDescent="0.25">
      <c r="I17" t="s">
        <v>37</v>
      </c>
      <c r="J17" s="29" t="s">
        <v>313</v>
      </c>
    </row>
    <row r="18" spans="9:10" x14ac:dyDescent="0.25">
      <c r="I18" t="s">
        <v>37</v>
      </c>
      <c r="J18" s="29" t="s">
        <v>314</v>
      </c>
    </row>
    <row r="19" spans="9:10" x14ac:dyDescent="0.25">
      <c r="I19" t="s">
        <v>37</v>
      </c>
      <c r="J19" s="29" t="s">
        <v>315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2"/>
  <sheetViews>
    <sheetView zoomScale="90" zoomScaleNormal="90" workbookViewId="0">
      <selection activeCell="F32" sqref="F32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336</v>
      </c>
      <c r="D2" s="30"/>
    </row>
    <row r="3" spans="1:12" x14ac:dyDescent="0.25">
      <c r="B3" s="14" t="s">
        <v>14</v>
      </c>
      <c r="C3" s="30" t="s">
        <v>337</v>
      </c>
      <c r="D3" s="30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0" t="s">
        <v>247</v>
      </c>
      <c r="D4" s="30"/>
      <c r="E4" s="14" t="s">
        <v>40</v>
      </c>
      <c r="F4" s="27" t="str">
        <f>B10</f>
        <v>Val</v>
      </c>
      <c r="I4" s="14" t="s">
        <v>138</v>
      </c>
      <c r="J4" s="27" t="s">
        <v>141</v>
      </c>
    </row>
    <row r="5" spans="1:12" x14ac:dyDescent="0.25">
      <c r="B5" s="14" t="s">
        <v>34</v>
      </c>
      <c r="C5" s="32" t="s">
        <v>250</v>
      </c>
      <c r="D5" s="33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340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341</v>
      </c>
    </row>
    <row r="9" spans="1:12" ht="14.25" customHeight="1" x14ac:dyDescent="0.25">
      <c r="B9" t="s">
        <v>338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342</v>
      </c>
    </row>
    <row r="10" spans="1:12" ht="15.75" customHeight="1" x14ac:dyDescent="0.25">
      <c r="B10" t="s">
        <v>339</v>
      </c>
      <c r="C10" t="s">
        <v>8</v>
      </c>
      <c r="D10" t="s">
        <v>30</v>
      </c>
      <c r="E10" t="s">
        <v>334</v>
      </c>
      <c r="F10" t="s">
        <v>8</v>
      </c>
      <c r="I10" t="s">
        <v>37</v>
      </c>
      <c r="J10" s="29" t="s">
        <v>343</v>
      </c>
    </row>
    <row r="11" spans="1:12" x14ac:dyDescent="0.25">
      <c r="I11" t="s">
        <v>37</v>
      </c>
      <c r="J11" s="29" t="s">
        <v>344</v>
      </c>
    </row>
    <row r="12" spans="1:12" x14ac:dyDescent="0.25">
      <c r="I12" t="s">
        <v>37</v>
      </c>
      <c r="J12" s="29" t="s">
        <v>345</v>
      </c>
    </row>
    <row r="13" spans="1:12" x14ac:dyDescent="0.25">
      <c r="I13" t="s">
        <v>37</v>
      </c>
      <c r="J13" s="29" t="s">
        <v>346</v>
      </c>
    </row>
    <row r="14" spans="1:12" x14ac:dyDescent="0.25">
      <c r="I14" t="s">
        <v>37</v>
      </c>
      <c r="J14" s="29" t="s">
        <v>347</v>
      </c>
    </row>
    <row r="15" spans="1:12" x14ac:dyDescent="0.25">
      <c r="I15" t="s">
        <v>37</v>
      </c>
      <c r="J15" s="29" t="s">
        <v>348</v>
      </c>
    </row>
    <row r="16" spans="1:12" x14ac:dyDescent="0.25">
      <c r="I16" t="s">
        <v>37</v>
      </c>
      <c r="J16" s="29" t="s">
        <v>349</v>
      </c>
    </row>
    <row r="17" spans="9:10" x14ac:dyDescent="0.25">
      <c r="I17" t="s">
        <v>37</v>
      </c>
      <c r="J17" s="29" t="s">
        <v>350</v>
      </c>
    </row>
    <row r="18" spans="9:10" x14ac:dyDescent="0.25">
      <c r="I18" t="s">
        <v>37</v>
      </c>
      <c r="J18" s="29" t="s">
        <v>351</v>
      </c>
    </row>
    <row r="19" spans="9:10" x14ac:dyDescent="0.25">
      <c r="I19" t="s">
        <v>37</v>
      </c>
      <c r="J19" t="s">
        <v>352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2"/>
  <sheetViews>
    <sheetView zoomScale="90" zoomScaleNormal="90" workbookViewId="0">
      <selection activeCell="B10" sqref="B1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358</v>
      </c>
      <c r="D2" s="30"/>
    </row>
    <row r="3" spans="1:12" x14ac:dyDescent="0.25">
      <c r="B3" s="14" t="s">
        <v>14</v>
      </c>
      <c r="C3" s="30" t="s">
        <v>359</v>
      </c>
      <c r="D3" s="30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0" t="s">
        <v>247</v>
      </c>
      <c r="D4" s="30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2" t="s">
        <v>250</v>
      </c>
      <c r="D5" s="33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360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361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362</v>
      </c>
    </row>
    <row r="10" spans="1:12" x14ac:dyDescent="0.25">
      <c r="B10" t="s">
        <v>302</v>
      </c>
      <c r="C10" t="s">
        <v>7</v>
      </c>
      <c r="E10" t="s">
        <v>396</v>
      </c>
      <c r="F10" t="s">
        <v>8</v>
      </c>
      <c r="G10" t="s">
        <v>397</v>
      </c>
      <c r="I10" t="s">
        <v>37</v>
      </c>
      <c r="J10" s="29" t="s">
        <v>363</v>
      </c>
    </row>
    <row r="11" spans="1:12" x14ac:dyDescent="0.25">
      <c r="I11" t="s">
        <v>37</v>
      </c>
      <c r="J11" s="29" t="s">
        <v>364</v>
      </c>
    </row>
    <row r="12" spans="1:12" x14ac:dyDescent="0.25">
      <c r="I12" t="s">
        <v>37</v>
      </c>
      <c r="J12" s="29" t="s">
        <v>365</v>
      </c>
    </row>
    <row r="13" spans="1:12" x14ac:dyDescent="0.25">
      <c r="I13" t="s">
        <v>37</v>
      </c>
      <c r="J13" s="29" t="s">
        <v>366</v>
      </c>
    </row>
    <row r="14" spans="1:12" x14ac:dyDescent="0.25">
      <c r="I14" t="s">
        <v>37</v>
      </c>
      <c r="J14" s="29" t="s">
        <v>367</v>
      </c>
    </row>
    <row r="15" spans="1:12" x14ac:dyDescent="0.25">
      <c r="I15" t="s">
        <v>37</v>
      </c>
      <c r="J15" s="29" t="s">
        <v>368</v>
      </c>
    </row>
    <row r="16" spans="1:12" x14ac:dyDescent="0.25">
      <c r="I16" t="s">
        <v>37</v>
      </c>
      <c r="J16" s="29" t="s">
        <v>369</v>
      </c>
    </row>
    <row r="17" spans="9:10" x14ac:dyDescent="0.25">
      <c r="I17" t="s">
        <v>37</v>
      </c>
      <c r="J17" s="29" t="s">
        <v>370</v>
      </c>
    </row>
    <row r="18" spans="9:10" x14ac:dyDescent="0.25">
      <c r="I18" t="s">
        <v>37</v>
      </c>
      <c r="J18" s="29" t="s">
        <v>371</v>
      </c>
    </row>
    <row r="19" spans="9:10" x14ac:dyDescent="0.25">
      <c r="I19" t="s">
        <v>37</v>
      </c>
      <c r="J19" s="29" t="s">
        <v>372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373</v>
      </c>
      <c r="D2" s="30"/>
    </row>
    <row r="3" spans="1:12" x14ac:dyDescent="0.25">
      <c r="B3" s="14" t="s">
        <v>14</v>
      </c>
      <c r="C3" s="30" t="s">
        <v>374</v>
      </c>
      <c r="D3" s="30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0" t="s">
        <v>247</v>
      </c>
      <c r="D4" s="30"/>
      <c r="E4" s="14" t="s">
        <v>40</v>
      </c>
      <c r="F4" s="27" t="str">
        <f>B9</f>
        <v>Action</v>
      </c>
      <c r="I4" s="14" t="s">
        <v>138</v>
      </c>
      <c r="J4" s="27" t="s">
        <v>141</v>
      </c>
    </row>
    <row r="5" spans="1:12" x14ac:dyDescent="0.25">
      <c r="B5" s="14" t="s">
        <v>34</v>
      </c>
      <c r="C5" s="32" t="s">
        <v>250</v>
      </c>
      <c r="D5" s="33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383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384</v>
      </c>
    </row>
    <row r="9" spans="1:12" ht="15.75" customHeight="1" x14ac:dyDescent="0.25">
      <c r="B9" t="s">
        <v>78</v>
      </c>
      <c r="C9" t="s">
        <v>8</v>
      </c>
      <c r="D9" t="s">
        <v>30</v>
      </c>
      <c r="E9" t="s">
        <v>78</v>
      </c>
      <c r="F9" t="s">
        <v>8</v>
      </c>
      <c r="I9" t="s">
        <v>37</v>
      </c>
      <c r="J9" s="29" t="s">
        <v>385</v>
      </c>
    </row>
    <row r="10" spans="1:12" x14ac:dyDescent="0.25">
      <c r="B10" t="s">
        <v>375</v>
      </c>
      <c r="C10" s="24" t="s">
        <v>134</v>
      </c>
      <c r="E10" t="s">
        <v>375</v>
      </c>
      <c r="F10" s="25" t="s">
        <v>71</v>
      </c>
      <c r="I10" t="s">
        <v>37</v>
      </c>
      <c r="J10" s="29" t="s">
        <v>386</v>
      </c>
    </row>
    <row r="11" spans="1:12" x14ac:dyDescent="0.25">
      <c r="B11" t="s">
        <v>376</v>
      </c>
      <c r="C11" s="24" t="s">
        <v>134</v>
      </c>
      <c r="E11" t="s">
        <v>376</v>
      </c>
      <c r="F11" s="25" t="s">
        <v>71</v>
      </c>
      <c r="I11" t="s">
        <v>37</v>
      </c>
      <c r="J11" s="29" t="s">
        <v>387</v>
      </c>
    </row>
    <row r="12" spans="1:12" x14ac:dyDescent="0.25">
      <c r="B12" t="s">
        <v>377</v>
      </c>
      <c r="C12" t="s">
        <v>7</v>
      </c>
      <c r="E12" t="s">
        <v>377</v>
      </c>
      <c r="F12" t="s">
        <v>8</v>
      </c>
      <c r="I12" t="s">
        <v>37</v>
      </c>
      <c r="J12" s="29" t="s">
        <v>388</v>
      </c>
    </row>
    <row r="13" spans="1:12" x14ac:dyDescent="0.25">
      <c r="B13" t="s">
        <v>67</v>
      </c>
      <c r="C13" t="s">
        <v>67</v>
      </c>
      <c r="E13" t="s">
        <v>67</v>
      </c>
      <c r="F13" t="s">
        <v>67</v>
      </c>
      <c r="I13" t="s">
        <v>37</v>
      </c>
      <c r="J13" s="29" t="s">
        <v>389</v>
      </c>
    </row>
    <row r="14" spans="1:12" x14ac:dyDescent="0.25">
      <c r="B14" t="s">
        <v>79</v>
      </c>
      <c r="C14" t="s">
        <v>8</v>
      </c>
      <c r="E14" t="s">
        <v>79</v>
      </c>
      <c r="F14" t="s">
        <v>8</v>
      </c>
      <c r="I14" t="s">
        <v>37</v>
      </c>
      <c r="J14" s="29" t="s">
        <v>390</v>
      </c>
    </row>
    <row r="15" spans="1:12" x14ac:dyDescent="0.25">
      <c r="B15" t="s">
        <v>378</v>
      </c>
      <c r="C15" t="s">
        <v>8</v>
      </c>
      <c r="E15" t="s">
        <v>378</v>
      </c>
      <c r="F15" t="s">
        <v>8</v>
      </c>
      <c r="I15" t="s">
        <v>37</v>
      </c>
      <c r="J15" s="29" t="s">
        <v>391</v>
      </c>
    </row>
    <row r="16" spans="1:12" x14ac:dyDescent="0.25">
      <c r="B16" t="s">
        <v>379</v>
      </c>
      <c r="C16" t="s">
        <v>8</v>
      </c>
      <c r="E16" t="s">
        <v>379</v>
      </c>
      <c r="F16" t="s">
        <v>8</v>
      </c>
      <c r="I16" t="s">
        <v>37</v>
      </c>
      <c r="J16" s="29" t="s">
        <v>392</v>
      </c>
    </row>
    <row r="17" spans="2:10" x14ac:dyDescent="0.25">
      <c r="B17" t="s">
        <v>380</v>
      </c>
      <c r="C17" t="s">
        <v>8</v>
      </c>
      <c r="E17" t="s">
        <v>380</v>
      </c>
      <c r="F17" t="s">
        <v>8</v>
      </c>
      <c r="I17" t="s">
        <v>37</v>
      </c>
      <c r="J17" s="29" t="s">
        <v>393</v>
      </c>
    </row>
    <row r="18" spans="2:10" x14ac:dyDescent="0.25">
      <c r="B18" t="s">
        <v>381</v>
      </c>
      <c r="C18" t="s">
        <v>8</v>
      </c>
      <c r="E18" t="s">
        <v>381</v>
      </c>
      <c r="F18" t="s">
        <v>8</v>
      </c>
      <c r="I18" t="s">
        <v>37</v>
      </c>
      <c r="J18" s="29" t="s">
        <v>394</v>
      </c>
    </row>
    <row r="19" spans="2:10" x14ac:dyDescent="0.25">
      <c r="B19" t="s">
        <v>382</v>
      </c>
      <c r="C19" t="s">
        <v>8</v>
      </c>
      <c r="E19" t="s">
        <v>382</v>
      </c>
      <c r="F19" t="s">
        <v>8</v>
      </c>
      <c r="I19" t="s">
        <v>37</v>
      </c>
      <c r="J19" s="29" t="s">
        <v>395</v>
      </c>
    </row>
    <row r="20" spans="2:10" x14ac:dyDescent="0.25">
      <c r="J20" s="29"/>
    </row>
    <row r="21" spans="2:10" x14ac:dyDescent="0.25">
      <c r="I21" t="s">
        <v>57</v>
      </c>
      <c r="J21" t="s">
        <v>251</v>
      </c>
    </row>
    <row r="22" spans="2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2"/>
  <sheetViews>
    <sheetView zoomScale="90" zoomScaleNormal="90" workbookViewId="0">
      <selection activeCell="C8" sqref="C8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398</v>
      </c>
      <c r="D2" s="30"/>
    </row>
    <row r="3" spans="1:12" x14ac:dyDescent="0.25">
      <c r="B3" s="14" t="s">
        <v>14</v>
      </c>
      <c r="C3" s="30" t="s">
        <v>399</v>
      </c>
      <c r="D3" s="30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0" t="s">
        <v>247</v>
      </c>
      <c r="D4" s="30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2" t="s">
        <v>250</v>
      </c>
      <c r="D5" s="33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400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401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402</v>
      </c>
    </row>
    <row r="10" spans="1:12" x14ac:dyDescent="0.25">
      <c r="B10" t="s">
        <v>2</v>
      </c>
      <c r="C10" t="s">
        <v>8</v>
      </c>
      <c r="E10" t="s">
        <v>2</v>
      </c>
      <c r="F10" t="s">
        <v>8</v>
      </c>
      <c r="I10" t="s">
        <v>37</v>
      </c>
      <c r="J10" s="29" t="s">
        <v>403</v>
      </c>
    </row>
    <row r="11" spans="1:12" x14ac:dyDescent="0.25">
      <c r="I11" t="s">
        <v>37</v>
      </c>
      <c r="J11" s="29" t="s">
        <v>404</v>
      </c>
    </row>
    <row r="12" spans="1:12" x14ac:dyDescent="0.25">
      <c r="I12" t="s">
        <v>37</v>
      </c>
      <c r="J12" s="29" t="s">
        <v>405</v>
      </c>
    </row>
    <row r="13" spans="1:12" x14ac:dyDescent="0.25">
      <c r="I13" t="s">
        <v>37</v>
      </c>
      <c r="J13" s="29" t="s">
        <v>406</v>
      </c>
    </row>
    <row r="14" spans="1:12" x14ac:dyDescent="0.25">
      <c r="I14" t="s">
        <v>37</v>
      </c>
      <c r="J14" s="29" t="s">
        <v>407</v>
      </c>
    </row>
    <row r="15" spans="1:12" x14ac:dyDescent="0.25">
      <c r="I15" t="s">
        <v>37</v>
      </c>
      <c r="J15" s="29" t="s">
        <v>408</v>
      </c>
    </row>
    <row r="16" spans="1:12" x14ac:dyDescent="0.25">
      <c r="I16" t="s">
        <v>37</v>
      </c>
      <c r="J16" s="29" t="s">
        <v>409</v>
      </c>
    </row>
    <row r="17" spans="9:10" x14ac:dyDescent="0.25">
      <c r="I17" t="s">
        <v>37</v>
      </c>
      <c r="J17" s="29" t="s">
        <v>410</v>
      </c>
    </row>
    <row r="18" spans="9:10" x14ac:dyDescent="0.25">
      <c r="I18" t="s">
        <v>37</v>
      </c>
      <c r="J18" s="29" t="s">
        <v>411</v>
      </c>
    </row>
    <row r="19" spans="9:10" x14ac:dyDescent="0.25">
      <c r="I19" t="s">
        <v>37</v>
      </c>
      <c r="J19" s="29" t="s">
        <v>412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2"/>
  <sheetViews>
    <sheetView zoomScale="90" zoomScaleNormal="90" workbookViewId="0">
      <selection activeCell="I7" sqref="I7:J23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418</v>
      </c>
      <c r="D2" s="30"/>
    </row>
    <row r="3" spans="1:12" x14ac:dyDescent="0.25">
      <c r="B3" s="14" t="s">
        <v>14</v>
      </c>
      <c r="C3" s="30" t="s">
        <v>419</v>
      </c>
      <c r="D3" s="30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0" t="s">
        <v>247</v>
      </c>
      <c r="D4" s="30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2" t="s">
        <v>250</v>
      </c>
      <c r="D5" s="33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420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421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422</v>
      </c>
    </row>
    <row r="10" spans="1:12" x14ac:dyDescent="0.25">
      <c r="B10" t="s">
        <v>302</v>
      </c>
      <c r="C10" t="s">
        <v>134</v>
      </c>
      <c r="D10" t="s">
        <v>30</v>
      </c>
      <c r="E10" t="s">
        <v>302</v>
      </c>
      <c r="F10" t="s">
        <v>134</v>
      </c>
      <c r="I10" t="s">
        <v>37</v>
      </c>
      <c r="J10" s="29" t="s">
        <v>423</v>
      </c>
    </row>
    <row r="11" spans="1:12" x14ac:dyDescent="0.25">
      <c r="B11" t="s">
        <v>413</v>
      </c>
      <c r="C11" t="s">
        <v>8</v>
      </c>
      <c r="E11" t="s">
        <v>413</v>
      </c>
      <c r="F11" t="s">
        <v>8</v>
      </c>
      <c r="I11" t="s">
        <v>37</v>
      </c>
      <c r="J11" s="29" t="s">
        <v>424</v>
      </c>
    </row>
    <row r="12" spans="1:12" x14ac:dyDescent="0.25">
      <c r="B12" t="s">
        <v>414</v>
      </c>
      <c r="C12" t="s">
        <v>8</v>
      </c>
      <c r="E12" t="s">
        <v>414</v>
      </c>
      <c r="F12" t="s">
        <v>8</v>
      </c>
      <c r="I12" t="s">
        <v>37</v>
      </c>
      <c r="J12" s="29" t="s">
        <v>425</v>
      </c>
    </row>
    <row r="13" spans="1:12" x14ac:dyDescent="0.25">
      <c r="B13" t="s">
        <v>415</v>
      </c>
      <c r="C13" t="s">
        <v>8</v>
      </c>
      <c r="E13" t="s">
        <v>415</v>
      </c>
      <c r="F13" t="s">
        <v>8</v>
      </c>
      <c r="I13" t="s">
        <v>37</v>
      </c>
      <c r="J13" s="29" t="s">
        <v>426</v>
      </c>
    </row>
    <row r="14" spans="1:12" x14ac:dyDescent="0.25">
      <c r="B14" t="s">
        <v>416</v>
      </c>
      <c r="C14" t="s">
        <v>8</v>
      </c>
      <c r="E14" t="s">
        <v>416</v>
      </c>
      <c r="F14" t="s">
        <v>8</v>
      </c>
      <c r="I14" t="s">
        <v>37</v>
      </c>
      <c r="J14" s="29" t="s">
        <v>427</v>
      </c>
    </row>
    <row r="15" spans="1:12" x14ac:dyDescent="0.25">
      <c r="B15" t="s">
        <v>417</v>
      </c>
      <c r="C15" t="s">
        <v>8</v>
      </c>
      <c r="E15" t="s">
        <v>417</v>
      </c>
      <c r="F15" t="s">
        <v>8</v>
      </c>
      <c r="I15" t="s">
        <v>37</v>
      </c>
      <c r="J15" s="29" t="s">
        <v>428</v>
      </c>
    </row>
    <row r="16" spans="1:12" x14ac:dyDescent="0.25">
      <c r="I16" t="s">
        <v>37</v>
      </c>
      <c r="J16" s="29" t="s">
        <v>429</v>
      </c>
    </row>
    <row r="17" spans="9:10" x14ac:dyDescent="0.25">
      <c r="I17" t="s">
        <v>37</v>
      </c>
      <c r="J17" s="29" t="s">
        <v>430</v>
      </c>
    </row>
    <row r="18" spans="9:10" x14ac:dyDescent="0.25">
      <c r="I18" t="s">
        <v>37</v>
      </c>
      <c r="J18" s="29" t="s">
        <v>431</v>
      </c>
    </row>
    <row r="19" spans="9:10" x14ac:dyDescent="0.25">
      <c r="I19" t="s">
        <v>37</v>
      </c>
      <c r="J19" s="29" t="s">
        <v>432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440</v>
      </c>
      <c r="D2" s="30"/>
    </row>
    <row r="3" spans="1:12" x14ac:dyDescent="0.25">
      <c r="B3" s="14" t="s">
        <v>14</v>
      </c>
      <c r="C3" s="30" t="s">
        <v>441</v>
      </c>
      <c r="D3" s="30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0" t="s">
        <v>247</v>
      </c>
      <c r="D4" s="30"/>
      <c r="E4" s="14" t="s">
        <v>40</v>
      </c>
      <c r="F4" s="27" t="str">
        <f>B10</f>
        <v>ActionType</v>
      </c>
      <c r="I4" s="14" t="s">
        <v>138</v>
      </c>
      <c r="J4" s="27" t="s">
        <v>141</v>
      </c>
    </row>
    <row r="5" spans="1:12" x14ac:dyDescent="0.25">
      <c r="B5" s="14" t="s">
        <v>34</v>
      </c>
      <c r="C5" s="32" t="s">
        <v>250</v>
      </c>
      <c r="D5" s="33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446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447</v>
      </c>
    </row>
    <row r="9" spans="1:12" x14ac:dyDescent="0.25">
      <c r="B9" t="s">
        <v>78</v>
      </c>
      <c r="C9" t="s">
        <v>8</v>
      </c>
      <c r="D9" t="s">
        <v>30</v>
      </c>
      <c r="E9" t="s">
        <v>78</v>
      </c>
      <c r="F9" t="s">
        <v>8</v>
      </c>
      <c r="I9" t="s">
        <v>37</v>
      </c>
      <c r="J9" s="29" t="s">
        <v>448</v>
      </c>
    </row>
    <row r="10" spans="1:12" ht="15.75" customHeight="1" x14ac:dyDescent="0.25">
      <c r="B10" t="s">
        <v>445</v>
      </c>
      <c r="C10" t="s">
        <v>8</v>
      </c>
      <c r="D10" t="s">
        <v>30</v>
      </c>
      <c r="E10" t="s">
        <v>445</v>
      </c>
      <c r="F10" t="s">
        <v>8</v>
      </c>
      <c r="I10" t="s">
        <v>37</v>
      </c>
      <c r="J10" s="29" t="s">
        <v>449</v>
      </c>
    </row>
    <row r="11" spans="1:12" x14ac:dyDescent="0.25">
      <c r="B11" t="s">
        <v>444</v>
      </c>
      <c r="C11" t="s">
        <v>8</v>
      </c>
      <c r="E11" t="s">
        <v>442</v>
      </c>
      <c r="F11" t="s">
        <v>8</v>
      </c>
      <c r="I11" t="s">
        <v>37</v>
      </c>
      <c r="J11" s="29" t="s">
        <v>450</v>
      </c>
    </row>
    <row r="12" spans="1:12" x14ac:dyDescent="0.25">
      <c r="B12" t="s">
        <v>490</v>
      </c>
      <c r="C12" t="s">
        <v>134</v>
      </c>
      <c r="E12" t="s">
        <v>490</v>
      </c>
      <c r="F12" t="s">
        <v>71</v>
      </c>
      <c r="I12" t="s">
        <v>37</v>
      </c>
      <c r="J12" s="29" t="s">
        <v>451</v>
      </c>
    </row>
    <row r="13" spans="1:12" x14ac:dyDescent="0.25">
      <c r="B13" t="s">
        <v>491</v>
      </c>
      <c r="C13" t="s">
        <v>335</v>
      </c>
      <c r="E13" t="s">
        <v>491</v>
      </c>
      <c r="F13" t="s">
        <v>492</v>
      </c>
      <c r="I13" t="s">
        <v>37</v>
      </c>
      <c r="J13" s="29" t="s">
        <v>452</v>
      </c>
    </row>
    <row r="14" spans="1:12" x14ac:dyDescent="0.25">
      <c r="B14" t="s">
        <v>396</v>
      </c>
      <c r="C14" t="s">
        <v>134</v>
      </c>
      <c r="E14" t="s">
        <v>396</v>
      </c>
      <c r="F14" t="s">
        <v>71</v>
      </c>
      <c r="I14" t="s">
        <v>37</v>
      </c>
      <c r="J14" s="29" t="s">
        <v>453</v>
      </c>
    </row>
    <row r="15" spans="1:12" x14ac:dyDescent="0.25">
      <c r="B15" t="s">
        <v>443</v>
      </c>
      <c r="C15" t="s">
        <v>8</v>
      </c>
      <c r="E15" t="s">
        <v>443</v>
      </c>
      <c r="F15" t="s">
        <v>8</v>
      </c>
      <c r="I15" t="s">
        <v>37</v>
      </c>
      <c r="J15" s="29" t="s">
        <v>454</v>
      </c>
    </row>
    <row r="16" spans="1:12" x14ac:dyDescent="0.25">
      <c r="I16" t="s">
        <v>37</v>
      </c>
      <c r="J16" s="29" t="s">
        <v>455</v>
      </c>
    </row>
    <row r="17" spans="9:10" x14ac:dyDescent="0.25">
      <c r="I17" t="s">
        <v>37</v>
      </c>
      <c r="J17" s="29" t="s">
        <v>456</v>
      </c>
    </row>
    <row r="18" spans="9:10" x14ac:dyDescent="0.25">
      <c r="I18" t="s">
        <v>37</v>
      </c>
      <c r="J18" s="29" t="s">
        <v>457</v>
      </c>
    </row>
    <row r="19" spans="9:10" x14ac:dyDescent="0.25">
      <c r="I19" t="s">
        <v>37</v>
      </c>
      <c r="J19" s="29" t="s">
        <v>458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>
      <selection activeCell="A3" sqref="A3:A10"/>
    </sheetView>
  </sheetViews>
  <sheetFormatPr defaultRowHeight="15" x14ac:dyDescent="0.25"/>
  <cols>
    <col min="1" max="1" width="11" bestFit="1" customWidth="1"/>
  </cols>
  <sheetData>
    <row r="1" spans="1:8" x14ac:dyDescent="0.25">
      <c r="A1" t="s">
        <v>0</v>
      </c>
      <c r="B1" t="s">
        <v>78</v>
      </c>
      <c r="C1" t="s">
        <v>445</v>
      </c>
      <c r="D1" t="s">
        <v>443</v>
      </c>
      <c r="E1" t="s">
        <v>490</v>
      </c>
      <c r="F1" t="s">
        <v>491</v>
      </c>
      <c r="G1" t="s">
        <v>396</v>
      </c>
      <c r="H1" t="s">
        <v>442</v>
      </c>
    </row>
    <row r="3" spans="1:8" x14ac:dyDescent="0.25">
      <c r="A3" t="s">
        <v>0</v>
      </c>
    </row>
    <row r="4" spans="1:8" x14ac:dyDescent="0.25">
      <c r="A4" t="s">
        <v>78</v>
      </c>
    </row>
    <row r="5" spans="1:8" x14ac:dyDescent="0.25">
      <c r="A5" t="s">
        <v>445</v>
      </c>
    </row>
    <row r="6" spans="1:8" x14ac:dyDescent="0.25">
      <c r="A6" t="s">
        <v>443</v>
      </c>
    </row>
    <row r="7" spans="1:8" x14ac:dyDescent="0.25">
      <c r="A7" t="s">
        <v>490</v>
      </c>
    </row>
    <row r="8" spans="1:8" x14ac:dyDescent="0.25">
      <c r="A8" t="s">
        <v>491</v>
      </c>
    </row>
    <row r="9" spans="1:8" x14ac:dyDescent="0.25">
      <c r="A9" t="s">
        <v>396</v>
      </c>
    </row>
    <row r="10" spans="1:8" x14ac:dyDescent="0.25">
      <c r="A10" t="s">
        <v>442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0"/>
  <sheetViews>
    <sheetView workbookViewId="0">
      <selection activeCell="K33" sqref="K33"/>
    </sheetView>
  </sheetViews>
  <sheetFormatPr defaultRowHeight="15" x14ac:dyDescent="0.25"/>
  <cols>
    <col min="3" max="3" width="12.5703125" customWidth="1"/>
    <col min="4" max="4" width="11.5703125" customWidth="1"/>
    <col min="5" max="5" width="40.85546875" customWidth="1"/>
    <col min="6" max="6" width="11.5703125" bestFit="1" customWidth="1"/>
    <col min="10" max="10" width="17.85546875" bestFit="1" customWidth="1"/>
  </cols>
  <sheetData>
    <row r="1" spans="1:10" x14ac:dyDescent="0.25">
      <c r="A1">
        <v>1</v>
      </c>
      <c r="B1">
        <v>1</v>
      </c>
      <c r="C1" t="s">
        <v>353</v>
      </c>
      <c r="D1" t="s">
        <v>8</v>
      </c>
      <c r="E1" t="str">
        <f>"public " &amp; D1 &amp; " " &amp;  C1 &amp;B1  &amp;" { get; set; }"</f>
        <v>public string Txt1 { get; set; }</v>
      </c>
      <c r="F1" t="str">
        <f>C1 &amp;B1</f>
        <v>Txt1</v>
      </c>
    </row>
    <row r="2" spans="1:10" x14ac:dyDescent="0.25">
      <c r="A2">
        <v>1</v>
      </c>
      <c r="B2">
        <v>2</v>
      </c>
      <c r="C2" t="s">
        <v>353</v>
      </c>
      <c r="D2" t="s">
        <v>8</v>
      </c>
      <c r="E2" t="str">
        <f t="shared" ref="E2:E19" si="0">"public " &amp; D2 &amp; " " &amp;  C2 &amp;B2  &amp;" { get; set; }"</f>
        <v>public string Txt2 { get; set; }</v>
      </c>
      <c r="F2" t="str">
        <f t="shared" ref="F2:F65" si="1">C2 &amp;B2</f>
        <v>Txt2</v>
      </c>
      <c r="J2" t="s">
        <v>433</v>
      </c>
    </row>
    <row r="3" spans="1:10" x14ac:dyDescent="0.25">
      <c r="A3">
        <v>1</v>
      </c>
      <c r="B3">
        <v>3</v>
      </c>
      <c r="C3" t="s">
        <v>353</v>
      </c>
      <c r="D3" t="s">
        <v>8</v>
      </c>
      <c r="E3" t="str">
        <f t="shared" si="0"/>
        <v>public string Txt3 { get; set; }</v>
      </c>
      <c r="F3" t="str">
        <f t="shared" si="1"/>
        <v>Txt3</v>
      </c>
      <c r="J3" t="s">
        <v>434</v>
      </c>
    </row>
    <row r="4" spans="1:10" x14ac:dyDescent="0.25">
      <c r="A4">
        <v>1</v>
      </c>
      <c r="B4">
        <v>4</v>
      </c>
      <c r="C4" t="s">
        <v>353</v>
      </c>
      <c r="D4" t="s">
        <v>8</v>
      </c>
      <c r="E4" t="str">
        <f t="shared" si="0"/>
        <v>public string Txt4 { get; set; }</v>
      </c>
      <c r="F4" t="str">
        <f t="shared" si="1"/>
        <v>Txt4</v>
      </c>
      <c r="J4" t="s">
        <v>435</v>
      </c>
    </row>
    <row r="5" spans="1:10" x14ac:dyDescent="0.25">
      <c r="A5">
        <v>1</v>
      </c>
      <c r="B5">
        <v>5</v>
      </c>
      <c r="C5" t="s">
        <v>353</v>
      </c>
      <c r="D5" t="s">
        <v>8</v>
      </c>
      <c r="E5" t="str">
        <f t="shared" si="0"/>
        <v>public string Txt5 { get; set; }</v>
      </c>
      <c r="F5" t="str">
        <f t="shared" si="1"/>
        <v>Txt5</v>
      </c>
      <c r="J5" t="s">
        <v>436</v>
      </c>
    </row>
    <row r="6" spans="1:10" x14ac:dyDescent="0.25">
      <c r="A6">
        <v>1</v>
      </c>
      <c r="B6">
        <v>6</v>
      </c>
      <c r="C6" t="s">
        <v>353</v>
      </c>
      <c r="D6" t="s">
        <v>8</v>
      </c>
      <c r="E6" t="str">
        <f t="shared" si="0"/>
        <v>public string Txt6 { get; set; }</v>
      </c>
      <c r="F6" t="str">
        <f t="shared" si="1"/>
        <v>Txt6</v>
      </c>
      <c r="J6" t="s">
        <v>437</v>
      </c>
    </row>
    <row r="7" spans="1:10" x14ac:dyDescent="0.25">
      <c r="A7">
        <v>1</v>
      </c>
      <c r="B7">
        <v>7</v>
      </c>
      <c r="C7" t="s">
        <v>353</v>
      </c>
      <c r="D7" t="s">
        <v>8</v>
      </c>
      <c r="E7" t="str">
        <f t="shared" si="0"/>
        <v>public string Txt7 { get; set; }</v>
      </c>
      <c r="F7" t="str">
        <f t="shared" si="1"/>
        <v>Txt7</v>
      </c>
      <c r="J7" t="s">
        <v>438</v>
      </c>
    </row>
    <row r="8" spans="1:10" x14ac:dyDescent="0.25">
      <c r="A8">
        <v>1</v>
      </c>
      <c r="B8">
        <v>8</v>
      </c>
      <c r="C8" t="s">
        <v>353</v>
      </c>
      <c r="D8" t="s">
        <v>8</v>
      </c>
      <c r="E8" t="str">
        <f t="shared" si="0"/>
        <v>public string Txt8 { get; set; }</v>
      </c>
      <c r="F8" t="str">
        <f t="shared" si="1"/>
        <v>Txt8</v>
      </c>
      <c r="J8" t="s">
        <v>439</v>
      </c>
    </row>
    <row r="9" spans="1:10" x14ac:dyDescent="0.25">
      <c r="A9">
        <v>1</v>
      </c>
      <c r="B9">
        <v>9</v>
      </c>
      <c r="C9" t="s">
        <v>353</v>
      </c>
      <c r="D9" t="s">
        <v>8</v>
      </c>
      <c r="E9" t="str">
        <f t="shared" si="0"/>
        <v>public string Txt9 { get; set; }</v>
      </c>
      <c r="F9" t="str">
        <f t="shared" si="1"/>
        <v>Txt9</v>
      </c>
    </row>
    <row r="10" spans="1:10" x14ac:dyDescent="0.25">
      <c r="A10">
        <v>1</v>
      </c>
      <c r="B10">
        <v>10</v>
      </c>
      <c r="C10" t="s">
        <v>353</v>
      </c>
      <c r="D10" t="s">
        <v>8</v>
      </c>
      <c r="E10" t="str">
        <f t="shared" si="0"/>
        <v>public string Txt10 { get; set; }</v>
      </c>
      <c r="F10" t="str">
        <f t="shared" si="1"/>
        <v>Txt10</v>
      </c>
    </row>
    <row r="11" spans="1:10" x14ac:dyDescent="0.25">
      <c r="A11">
        <v>1</v>
      </c>
      <c r="B11">
        <v>11</v>
      </c>
      <c r="C11" t="s">
        <v>353</v>
      </c>
      <c r="D11" t="s">
        <v>8</v>
      </c>
      <c r="E11" t="str">
        <f t="shared" si="0"/>
        <v>public string Txt11 { get; set; }</v>
      </c>
      <c r="F11" t="str">
        <f t="shared" si="1"/>
        <v>Txt11</v>
      </c>
    </row>
    <row r="12" spans="1:10" x14ac:dyDescent="0.25">
      <c r="A12">
        <v>1</v>
      </c>
      <c r="B12">
        <v>12</v>
      </c>
      <c r="C12" t="s">
        <v>353</v>
      </c>
      <c r="D12" t="s">
        <v>8</v>
      </c>
      <c r="E12" t="str">
        <f t="shared" si="0"/>
        <v>public string Txt12 { get; set; }</v>
      </c>
      <c r="F12" t="str">
        <f t="shared" si="1"/>
        <v>Txt12</v>
      </c>
    </row>
    <row r="13" spans="1:10" x14ac:dyDescent="0.25">
      <c r="A13">
        <v>1</v>
      </c>
      <c r="B13">
        <v>13</v>
      </c>
      <c r="C13" t="s">
        <v>353</v>
      </c>
      <c r="D13" t="s">
        <v>8</v>
      </c>
      <c r="E13" t="str">
        <f t="shared" si="0"/>
        <v>public string Txt13 { get; set; }</v>
      </c>
      <c r="F13" t="str">
        <f t="shared" si="1"/>
        <v>Txt13</v>
      </c>
    </row>
    <row r="14" spans="1:10" x14ac:dyDescent="0.25">
      <c r="A14">
        <v>1</v>
      </c>
      <c r="B14">
        <v>14</v>
      </c>
      <c r="C14" t="s">
        <v>353</v>
      </c>
      <c r="D14" t="s">
        <v>8</v>
      </c>
      <c r="E14" t="str">
        <f t="shared" si="0"/>
        <v>public string Txt14 { get; set; }</v>
      </c>
      <c r="F14" t="str">
        <f t="shared" si="1"/>
        <v>Txt14</v>
      </c>
    </row>
    <row r="15" spans="1:10" x14ac:dyDescent="0.25">
      <c r="A15">
        <v>1</v>
      </c>
      <c r="B15">
        <v>15</v>
      </c>
      <c r="C15" t="s">
        <v>353</v>
      </c>
      <c r="D15" t="s">
        <v>8</v>
      </c>
      <c r="E15" t="str">
        <f t="shared" si="0"/>
        <v>public string Txt15 { get; set; }</v>
      </c>
      <c r="F15" t="str">
        <f t="shared" si="1"/>
        <v>Txt15</v>
      </c>
    </row>
    <row r="16" spans="1:10" x14ac:dyDescent="0.25">
      <c r="A16">
        <v>1</v>
      </c>
      <c r="B16">
        <v>16</v>
      </c>
      <c r="C16" t="s">
        <v>353</v>
      </c>
      <c r="D16" t="s">
        <v>8</v>
      </c>
      <c r="E16" t="str">
        <f t="shared" si="0"/>
        <v>public string Txt16 { get; set; }</v>
      </c>
      <c r="F16" t="str">
        <f t="shared" si="1"/>
        <v>Txt16</v>
      </c>
    </row>
    <row r="17" spans="1:6" x14ac:dyDescent="0.25">
      <c r="A17">
        <v>1</v>
      </c>
      <c r="B17">
        <v>17</v>
      </c>
      <c r="C17" t="s">
        <v>353</v>
      </c>
      <c r="D17" t="s">
        <v>8</v>
      </c>
      <c r="E17" t="str">
        <f t="shared" si="0"/>
        <v>public string Txt17 { get; set; }</v>
      </c>
      <c r="F17" t="str">
        <f t="shared" si="1"/>
        <v>Txt17</v>
      </c>
    </row>
    <row r="18" spans="1:6" x14ac:dyDescent="0.25">
      <c r="A18">
        <v>1</v>
      </c>
      <c r="B18">
        <v>18</v>
      </c>
      <c r="C18" t="s">
        <v>353</v>
      </c>
      <c r="D18" t="s">
        <v>8</v>
      </c>
      <c r="E18" t="str">
        <f t="shared" si="0"/>
        <v>public string Txt18 { get; set; }</v>
      </c>
      <c r="F18" t="str">
        <f t="shared" si="1"/>
        <v>Txt18</v>
      </c>
    </row>
    <row r="19" spans="1:6" x14ac:dyDescent="0.25">
      <c r="A19">
        <v>1</v>
      </c>
      <c r="B19">
        <v>19</v>
      </c>
      <c r="C19" t="s">
        <v>353</v>
      </c>
      <c r="D19" t="s">
        <v>8</v>
      </c>
      <c r="E19" t="str">
        <f t="shared" si="0"/>
        <v>public string Txt19 { get; set; }</v>
      </c>
      <c r="F19" t="str">
        <f t="shared" si="1"/>
        <v>Txt19</v>
      </c>
    </row>
    <row r="20" spans="1:6" x14ac:dyDescent="0.25">
      <c r="A20">
        <v>1</v>
      </c>
      <c r="B20">
        <v>20</v>
      </c>
      <c r="C20" t="s">
        <v>353</v>
      </c>
      <c r="D20" t="s">
        <v>8</v>
      </c>
      <c r="E20" t="str">
        <f t="shared" ref="E20:E26" si="2">"public " &amp; D20 &amp; " " &amp;  C20 &amp;B20  &amp;" { get; set; }"</f>
        <v>public string Txt20 { get; set; }</v>
      </c>
      <c r="F20" t="str">
        <f t="shared" si="1"/>
        <v>Txt20</v>
      </c>
    </row>
    <row r="21" spans="1:6" x14ac:dyDescent="0.25">
      <c r="A21">
        <v>1</v>
      </c>
      <c r="B21">
        <v>21</v>
      </c>
      <c r="C21" t="s">
        <v>353</v>
      </c>
      <c r="D21" t="s">
        <v>8</v>
      </c>
      <c r="E21" t="str">
        <f t="shared" si="2"/>
        <v>public string Txt21 { get; set; }</v>
      </c>
      <c r="F21" t="str">
        <f t="shared" si="1"/>
        <v>Txt21</v>
      </c>
    </row>
    <row r="22" spans="1:6" x14ac:dyDescent="0.25">
      <c r="A22">
        <v>1</v>
      </c>
      <c r="B22">
        <v>22</v>
      </c>
      <c r="C22" t="s">
        <v>353</v>
      </c>
      <c r="D22" t="s">
        <v>8</v>
      </c>
      <c r="E22" t="str">
        <f>"public " &amp; D22 &amp; " " &amp;  C22 &amp;B22  &amp;" { get; set; }"</f>
        <v>public string Txt22 { get; set; }</v>
      </c>
      <c r="F22" t="str">
        <f t="shared" si="1"/>
        <v>Txt22</v>
      </c>
    </row>
    <row r="23" spans="1:6" x14ac:dyDescent="0.25">
      <c r="A23">
        <v>1</v>
      </c>
      <c r="B23">
        <v>23</v>
      </c>
      <c r="C23" t="s">
        <v>353</v>
      </c>
      <c r="D23" t="s">
        <v>8</v>
      </c>
      <c r="E23" t="str">
        <f>"public " &amp; D23 &amp; " " &amp;  C23 &amp;B23  &amp;" { get; set; }"</f>
        <v>public string Txt23 { get; set; }</v>
      </c>
      <c r="F23" t="str">
        <f t="shared" si="1"/>
        <v>Txt23</v>
      </c>
    </row>
    <row r="24" spans="1:6" x14ac:dyDescent="0.25">
      <c r="A24">
        <v>1</v>
      </c>
      <c r="B24">
        <v>24</v>
      </c>
      <c r="C24" t="s">
        <v>353</v>
      </c>
      <c r="D24" t="s">
        <v>8</v>
      </c>
      <c r="E24" t="str">
        <f>"public " &amp; D24 &amp; " " &amp;  C24 &amp;B24  &amp;" { get; set; }"</f>
        <v>public string Txt24 { get; set; }</v>
      </c>
      <c r="F24" t="str">
        <f t="shared" si="1"/>
        <v>Txt24</v>
      </c>
    </row>
    <row r="25" spans="1:6" x14ac:dyDescent="0.25">
      <c r="A25">
        <v>1</v>
      </c>
      <c r="B25">
        <v>25</v>
      </c>
      <c r="C25" t="s">
        <v>353</v>
      </c>
      <c r="D25" t="s">
        <v>8</v>
      </c>
      <c r="E25" t="str">
        <f>"public " &amp; D25 &amp; " " &amp;  C25 &amp;B25  &amp;" { get; set; }"</f>
        <v>public string Txt25 { get; set; }</v>
      </c>
      <c r="F25" t="str">
        <f t="shared" si="1"/>
        <v>Txt25</v>
      </c>
    </row>
    <row r="26" spans="1:6" x14ac:dyDescent="0.25">
      <c r="A26">
        <v>2</v>
      </c>
      <c r="B26">
        <v>1</v>
      </c>
      <c r="C26" t="s">
        <v>354</v>
      </c>
      <c r="D26" t="s">
        <v>134</v>
      </c>
      <c r="E26" t="str">
        <f t="shared" si="2"/>
        <v>public int Num1 { get; set; }</v>
      </c>
      <c r="F26" t="str">
        <f t="shared" si="1"/>
        <v>Num1</v>
      </c>
    </row>
    <row r="27" spans="1:6" x14ac:dyDescent="0.25">
      <c r="A27">
        <v>2</v>
      </c>
      <c r="B27">
        <v>2</v>
      </c>
      <c r="C27" t="s">
        <v>354</v>
      </c>
      <c r="D27" t="s">
        <v>134</v>
      </c>
      <c r="E27" t="str">
        <f t="shared" ref="E27:E36" si="3">"public " &amp; D27 &amp; " " &amp;  C27 &amp;B27  &amp;" { get; set; }"</f>
        <v>public int Num2 { get; set; }</v>
      </c>
      <c r="F27" t="str">
        <f t="shared" si="1"/>
        <v>Num2</v>
      </c>
    </row>
    <row r="28" spans="1:6" x14ac:dyDescent="0.25">
      <c r="A28">
        <v>2</v>
      </c>
      <c r="B28">
        <v>3</v>
      </c>
      <c r="C28" t="s">
        <v>354</v>
      </c>
      <c r="D28" t="s">
        <v>134</v>
      </c>
      <c r="E28" t="str">
        <f t="shared" si="3"/>
        <v>public int Num3 { get; set; }</v>
      </c>
      <c r="F28" t="str">
        <f t="shared" si="1"/>
        <v>Num3</v>
      </c>
    </row>
    <row r="29" spans="1:6" x14ac:dyDescent="0.25">
      <c r="A29">
        <v>2</v>
      </c>
      <c r="B29">
        <v>4</v>
      </c>
      <c r="C29" t="s">
        <v>354</v>
      </c>
      <c r="D29" t="s">
        <v>134</v>
      </c>
      <c r="E29" t="str">
        <f t="shared" si="3"/>
        <v>public int Num4 { get; set; }</v>
      </c>
      <c r="F29" t="str">
        <f t="shared" si="1"/>
        <v>Num4</v>
      </c>
    </row>
    <row r="30" spans="1:6" x14ac:dyDescent="0.25">
      <c r="A30">
        <v>2</v>
      </c>
      <c r="B30">
        <v>5</v>
      </c>
      <c r="C30" t="s">
        <v>354</v>
      </c>
      <c r="D30" t="s">
        <v>134</v>
      </c>
      <c r="E30" t="str">
        <f t="shared" si="3"/>
        <v>public int Num5 { get; set; }</v>
      </c>
      <c r="F30" t="str">
        <f t="shared" si="1"/>
        <v>Num5</v>
      </c>
    </row>
    <row r="31" spans="1:6" x14ac:dyDescent="0.25">
      <c r="A31">
        <v>2</v>
      </c>
      <c r="B31">
        <v>6</v>
      </c>
      <c r="C31" t="s">
        <v>354</v>
      </c>
      <c r="D31" t="s">
        <v>134</v>
      </c>
      <c r="E31" t="str">
        <f t="shared" si="3"/>
        <v>public int Num6 { get; set; }</v>
      </c>
      <c r="F31" t="str">
        <f t="shared" si="1"/>
        <v>Num6</v>
      </c>
    </row>
    <row r="32" spans="1:6" x14ac:dyDescent="0.25">
      <c r="A32">
        <v>2</v>
      </c>
      <c r="B32">
        <v>7</v>
      </c>
      <c r="C32" t="s">
        <v>354</v>
      </c>
      <c r="D32" t="s">
        <v>134</v>
      </c>
      <c r="E32" t="str">
        <f t="shared" si="3"/>
        <v>public int Num7 { get; set; }</v>
      </c>
      <c r="F32" t="str">
        <f t="shared" si="1"/>
        <v>Num7</v>
      </c>
    </row>
    <row r="33" spans="1:6" x14ac:dyDescent="0.25">
      <c r="A33">
        <v>2</v>
      </c>
      <c r="B33">
        <v>8</v>
      </c>
      <c r="C33" t="s">
        <v>354</v>
      </c>
      <c r="D33" t="s">
        <v>134</v>
      </c>
      <c r="E33" t="str">
        <f t="shared" si="3"/>
        <v>public int Num8 { get; set; }</v>
      </c>
      <c r="F33" t="str">
        <f t="shared" si="1"/>
        <v>Num8</v>
      </c>
    </row>
    <row r="34" spans="1:6" x14ac:dyDescent="0.25">
      <c r="A34">
        <v>2</v>
      </c>
      <c r="B34">
        <v>9</v>
      </c>
      <c r="C34" t="s">
        <v>354</v>
      </c>
      <c r="D34" t="s">
        <v>134</v>
      </c>
      <c r="E34" t="str">
        <f t="shared" si="3"/>
        <v>public int Num9 { get; set; }</v>
      </c>
      <c r="F34" t="str">
        <f t="shared" si="1"/>
        <v>Num9</v>
      </c>
    </row>
    <row r="35" spans="1:6" x14ac:dyDescent="0.25">
      <c r="A35">
        <v>2</v>
      </c>
      <c r="B35">
        <v>10</v>
      </c>
      <c r="C35" t="s">
        <v>354</v>
      </c>
      <c r="D35" t="s">
        <v>134</v>
      </c>
      <c r="E35" t="str">
        <f t="shared" si="3"/>
        <v>public int Num10 { get; set; }</v>
      </c>
      <c r="F35" t="str">
        <f t="shared" si="1"/>
        <v>Num10</v>
      </c>
    </row>
    <row r="36" spans="1:6" x14ac:dyDescent="0.25">
      <c r="A36">
        <v>2</v>
      </c>
      <c r="B36">
        <v>1</v>
      </c>
      <c r="C36" t="s">
        <v>356</v>
      </c>
      <c r="D36" t="s">
        <v>355</v>
      </c>
      <c r="E36" t="str">
        <f t="shared" si="3"/>
        <v>public float Float1 { get; set; }</v>
      </c>
      <c r="F36" t="str">
        <f t="shared" si="1"/>
        <v>Float1</v>
      </c>
    </row>
    <row r="37" spans="1:6" x14ac:dyDescent="0.25">
      <c r="A37">
        <v>3</v>
      </c>
      <c r="B37">
        <v>2</v>
      </c>
      <c r="C37" t="s">
        <v>356</v>
      </c>
      <c r="D37" t="s">
        <v>355</v>
      </c>
      <c r="E37" t="str">
        <f t="shared" ref="E37:E46" si="4">"public " &amp; D37 &amp; " " &amp;  C37 &amp;B37  &amp;" { get; set; }"</f>
        <v>public float Float2 { get; set; }</v>
      </c>
      <c r="F37" t="str">
        <f t="shared" si="1"/>
        <v>Float2</v>
      </c>
    </row>
    <row r="38" spans="1:6" x14ac:dyDescent="0.25">
      <c r="A38">
        <v>3</v>
      </c>
      <c r="B38">
        <v>3</v>
      </c>
      <c r="C38" t="s">
        <v>356</v>
      </c>
      <c r="D38" t="s">
        <v>355</v>
      </c>
      <c r="E38" t="str">
        <f t="shared" si="4"/>
        <v>public float Float3 { get; set; }</v>
      </c>
      <c r="F38" t="str">
        <f t="shared" si="1"/>
        <v>Float3</v>
      </c>
    </row>
    <row r="39" spans="1:6" x14ac:dyDescent="0.25">
      <c r="A39">
        <v>3</v>
      </c>
      <c r="B39">
        <v>4</v>
      </c>
      <c r="C39" t="s">
        <v>356</v>
      </c>
      <c r="D39" t="s">
        <v>355</v>
      </c>
      <c r="E39" t="str">
        <f t="shared" si="4"/>
        <v>public float Float4 { get; set; }</v>
      </c>
      <c r="F39" t="str">
        <f t="shared" si="1"/>
        <v>Float4</v>
      </c>
    </row>
    <row r="40" spans="1:6" x14ac:dyDescent="0.25">
      <c r="A40">
        <v>3</v>
      </c>
      <c r="B40">
        <v>5</v>
      </c>
      <c r="C40" t="s">
        <v>356</v>
      </c>
      <c r="D40" t="s">
        <v>355</v>
      </c>
      <c r="E40" t="str">
        <f t="shared" si="4"/>
        <v>public float Float5 { get; set; }</v>
      </c>
      <c r="F40" t="str">
        <f t="shared" si="1"/>
        <v>Float5</v>
      </c>
    </row>
    <row r="41" spans="1:6" x14ac:dyDescent="0.25">
      <c r="A41">
        <v>3</v>
      </c>
      <c r="B41">
        <v>6</v>
      </c>
      <c r="C41" t="s">
        <v>356</v>
      </c>
      <c r="D41" t="s">
        <v>355</v>
      </c>
      <c r="E41" t="str">
        <f t="shared" si="4"/>
        <v>public float Float6 { get; set; }</v>
      </c>
      <c r="F41" t="str">
        <f t="shared" si="1"/>
        <v>Float6</v>
      </c>
    </row>
    <row r="42" spans="1:6" x14ac:dyDescent="0.25">
      <c r="A42">
        <v>3</v>
      </c>
      <c r="B42">
        <v>7</v>
      </c>
      <c r="C42" t="s">
        <v>356</v>
      </c>
      <c r="D42" t="s">
        <v>355</v>
      </c>
      <c r="E42" t="str">
        <f t="shared" si="4"/>
        <v>public float Float7 { get; set; }</v>
      </c>
      <c r="F42" t="str">
        <f t="shared" si="1"/>
        <v>Float7</v>
      </c>
    </row>
    <row r="43" spans="1:6" x14ac:dyDescent="0.25">
      <c r="A43">
        <v>3</v>
      </c>
      <c r="B43">
        <v>8</v>
      </c>
      <c r="C43" t="s">
        <v>356</v>
      </c>
      <c r="D43" t="s">
        <v>355</v>
      </c>
      <c r="E43" t="str">
        <f t="shared" si="4"/>
        <v>public float Float8 { get; set; }</v>
      </c>
      <c r="F43" t="str">
        <f t="shared" si="1"/>
        <v>Float8</v>
      </c>
    </row>
    <row r="44" spans="1:6" x14ac:dyDescent="0.25">
      <c r="A44">
        <v>3</v>
      </c>
      <c r="B44">
        <v>9</v>
      </c>
      <c r="C44" t="s">
        <v>356</v>
      </c>
      <c r="D44" t="s">
        <v>355</v>
      </c>
      <c r="E44" t="str">
        <f t="shared" si="4"/>
        <v>public float Float9 { get; set; }</v>
      </c>
      <c r="F44" t="str">
        <f t="shared" si="1"/>
        <v>Float9</v>
      </c>
    </row>
    <row r="45" spans="1:6" x14ac:dyDescent="0.25">
      <c r="A45">
        <v>3</v>
      </c>
      <c r="B45">
        <v>10</v>
      </c>
      <c r="C45" t="s">
        <v>356</v>
      </c>
      <c r="D45" t="s">
        <v>355</v>
      </c>
      <c r="E45" t="str">
        <f t="shared" si="4"/>
        <v>public float Float10 { get; set; }</v>
      </c>
      <c r="F45" t="str">
        <f t="shared" si="1"/>
        <v>Float10</v>
      </c>
    </row>
    <row r="46" spans="1:6" x14ac:dyDescent="0.25">
      <c r="A46">
        <v>4</v>
      </c>
      <c r="B46">
        <v>1</v>
      </c>
      <c r="C46" t="s">
        <v>357</v>
      </c>
      <c r="D46" t="s">
        <v>335</v>
      </c>
      <c r="E46" t="str">
        <f t="shared" si="4"/>
        <v>public bool Bool1 { get; set; }</v>
      </c>
      <c r="F46" t="str">
        <f t="shared" si="1"/>
        <v>Bool1</v>
      </c>
    </row>
    <row r="47" spans="1:6" x14ac:dyDescent="0.25">
      <c r="A47">
        <v>4</v>
      </c>
      <c r="B47">
        <v>2</v>
      </c>
      <c r="C47" t="s">
        <v>357</v>
      </c>
      <c r="D47" t="s">
        <v>335</v>
      </c>
      <c r="E47" t="str">
        <f t="shared" ref="E47:E56" si="5">"public " &amp; D47 &amp; " " &amp;  C47 &amp;B47  &amp;" { get; set; }"</f>
        <v>public bool Bool2 { get; set; }</v>
      </c>
      <c r="F47" t="str">
        <f t="shared" si="1"/>
        <v>Bool2</v>
      </c>
    </row>
    <row r="48" spans="1:6" x14ac:dyDescent="0.25">
      <c r="A48">
        <v>4</v>
      </c>
      <c r="B48">
        <v>3</v>
      </c>
      <c r="C48" t="s">
        <v>357</v>
      </c>
      <c r="D48" t="s">
        <v>335</v>
      </c>
      <c r="E48" t="str">
        <f t="shared" si="5"/>
        <v>public bool Bool3 { get; set; }</v>
      </c>
      <c r="F48" t="str">
        <f t="shared" si="1"/>
        <v>Bool3</v>
      </c>
    </row>
    <row r="49" spans="1:6" x14ac:dyDescent="0.25">
      <c r="A49">
        <v>4</v>
      </c>
      <c r="B49">
        <v>4</v>
      </c>
      <c r="C49" t="s">
        <v>357</v>
      </c>
      <c r="D49" t="s">
        <v>335</v>
      </c>
      <c r="E49" t="str">
        <f t="shared" si="5"/>
        <v>public bool Bool4 { get; set; }</v>
      </c>
      <c r="F49" t="str">
        <f t="shared" si="1"/>
        <v>Bool4</v>
      </c>
    </row>
    <row r="50" spans="1:6" x14ac:dyDescent="0.25">
      <c r="A50">
        <v>4</v>
      </c>
      <c r="B50">
        <v>5</v>
      </c>
      <c r="C50" t="s">
        <v>357</v>
      </c>
      <c r="D50" t="s">
        <v>335</v>
      </c>
      <c r="E50" t="str">
        <f t="shared" si="5"/>
        <v>public bool Bool5 { get; set; }</v>
      </c>
      <c r="F50" t="str">
        <f t="shared" si="1"/>
        <v>Bool5</v>
      </c>
    </row>
    <row r="51" spans="1:6" x14ac:dyDescent="0.25">
      <c r="A51">
        <v>4</v>
      </c>
      <c r="B51">
        <v>6</v>
      </c>
      <c r="C51" t="s">
        <v>357</v>
      </c>
      <c r="D51" t="s">
        <v>335</v>
      </c>
      <c r="E51" t="str">
        <f t="shared" si="5"/>
        <v>public bool Bool6 { get; set; }</v>
      </c>
      <c r="F51" t="str">
        <f t="shared" si="1"/>
        <v>Bool6</v>
      </c>
    </row>
    <row r="52" spans="1:6" x14ac:dyDescent="0.25">
      <c r="A52">
        <v>4</v>
      </c>
      <c r="B52">
        <v>7</v>
      </c>
      <c r="C52" t="s">
        <v>357</v>
      </c>
      <c r="D52" t="s">
        <v>335</v>
      </c>
      <c r="E52" t="str">
        <f t="shared" si="5"/>
        <v>public bool Bool7 { get; set; }</v>
      </c>
      <c r="F52" t="str">
        <f t="shared" si="1"/>
        <v>Bool7</v>
      </c>
    </row>
    <row r="53" spans="1:6" x14ac:dyDescent="0.25">
      <c r="A53">
        <v>4</v>
      </c>
      <c r="B53">
        <v>8</v>
      </c>
      <c r="C53" t="s">
        <v>357</v>
      </c>
      <c r="D53" t="s">
        <v>335</v>
      </c>
      <c r="E53" t="str">
        <f t="shared" si="5"/>
        <v>public bool Bool8 { get; set; }</v>
      </c>
      <c r="F53" t="str">
        <f t="shared" si="1"/>
        <v>Bool8</v>
      </c>
    </row>
    <row r="54" spans="1:6" x14ac:dyDescent="0.25">
      <c r="A54">
        <v>4</v>
      </c>
      <c r="B54">
        <v>9</v>
      </c>
      <c r="C54" t="s">
        <v>357</v>
      </c>
      <c r="D54" t="s">
        <v>335</v>
      </c>
      <c r="E54" t="str">
        <f t="shared" si="5"/>
        <v>public bool Bool9 { get; set; }</v>
      </c>
      <c r="F54" t="str">
        <f t="shared" si="1"/>
        <v>Bool9</v>
      </c>
    </row>
    <row r="55" spans="1:6" x14ac:dyDescent="0.25">
      <c r="A55">
        <v>4</v>
      </c>
      <c r="B55">
        <v>10</v>
      </c>
      <c r="C55" t="s">
        <v>357</v>
      </c>
      <c r="D55" t="s">
        <v>335</v>
      </c>
      <c r="E55" t="str">
        <f t="shared" si="5"/>
        <v>public bool Bool10 { get; set; }</v>
      </c>
      <c r="F55" t="str">
        <f t="shared" si="1"/>
        <v>Bool10</v>
      </c>
    </row>
    <row r="56" spans="1:6" x14ac:dyDescent="0.25">
      <c r="A56">
        <v>5</v>
      </c>
      <c r="B56">
        <v>1</v>
      </c>
      <c r="C56" t="s">
        <v>67</v>
      </c>
      <c r="D56" t="s">
        <v>67</v>
      </c>
      <c r="E56" t="str">
        <f t="shared" si="5"/>
        <v>public DateTime DateTime1 { get; set; }</v>
      </c>
      <c r="F56" t="str">
        <f t="shared" si="1"/>
        <v>DateTime1</v>
      </c>
    </row>
    <row r="57" spans="1:6" x14ac:dyDescent="0.25">
      <c r="A57">
        <v>5</v>
      </c>
      <c r="B57">
        <v>2</v>
      </c>
      <c r="C57" t="s">
        <v>67</v>
      </c>
      <c r="D57" t="s">
        <v>67</v>
      </c>
      <c r="E57" t="str">
        <f t="shared" ref="E57:E65" si="6">"public " &amp; D57 &amp; " " &amp;  C57 &amp;B57  &amp;" { get; set; }"</f>
        <v>public DateTime DateTime2 { get; set; }</v>
      </c>
      <c r="F57" t="str">
        <f t="shared" si="1"/>
        <v>DateTime2</v>
      </c>
    </row>
    <row r="58" spans="1:6" x14ac:dyDescent="0.25">
      <c r="A58">
        <v>5</v>
      </c>
      <c r="B58">
        <v>3</v>
      </c>
      <c r="C58" t="s">
        <v>67</v>
      </c>
      <c r="D58" t="s">
        <v>67</v>
      </c>
      <c r="E58" t="str">
        <f t="shared" si="6"/>
        <v>public DateTime DateTime3 { get; set; }</v>
      </c>
      <c r="F58" t="str">
        <f t="shared" si="1"/>
        <v>DateTime3</v>
      </c>
    </row>
    <row r="59" spans="1:6" x14ac:dyDescent="0.25">
      <c r="A59">
        <v>5</v>
      </c>
      <c r="B59">
        <v>4</v>
      </c>
      <c r="C59" t="s">
        <v>67</v>
      </c>
      <c r="D59" t="s">
        <v>67</v>
      </c>
      <c r="E59" t="str">
        <f t="shared" si="6"/>
        <v>public DateTime DateTime4 { get; set; }</v>
      </c>
      <c r="F59" t="str">
        <f t="shared" si="1"/>
        <v>DateTime4</v>
      </c>
    </row>
    <row r="60" spans="1:6" x14ac:dyDescent="0.25">
      <c r="A60">
        <v>5</v>
      </c>
      <c r="B60">
        <v>5</v>
      </c>
      <c r="C60" t="s">
        <v>67</v>
      </c>
      <c r="D60" t="s">
        <v>67</v>
      </c>
      <c r="E60" t="str">
        <f t="shared" si="6"/>
        <v>public DateTime DateTime5 { get; set; }</v>
      </c>
      <c r="F60" t="str">
        <f t="shared" si="1"/>
        <v>DateTime5</v>
      </c>
    </row>
    <row r="61" spans="1:6" x14ac:dyDescent="0.25">
      <c r="A61">
        <v>5</v>
      </c>
      <c r="B61">
        <v>6</v>
      </c>
      <c r="C61" t="s">
        <v>67</v>
      </c>
      <c r="D61" t="s">
        <v>67</v>
      </c>
      <c r="E61" t="str">
        <f t="shared" si="6"/>
        <v>public DateTime DateTime6 { get; set; }</v>
      </c>
      <c r="F61" t="str">
        <f t="shared" si="1"/>
        <v>DateTime6</v>
      </c>
    </row>
    <row r="62" spans="1:6" x14ac:dyDescent="0.25">
      <c r="A62">
        <v>5</v>
      </c>
      <c r="B62">
        <v>7</v>
      </c>
      <c r="C62" t="s">
        <v>67</v>
      </c>
      <c r="D62" t="s">
        <v>67</v>
      </c>
      <c r="E62" t="str">
        <f t="shared" si="6"/>
        <v>public DateTime DateTime7 { get; set; }</v>
      </c>
      <c r="F62" t="str">
        <f t="shared" si="1"/>
        <v>DateTime7</v>
      </c>
    </row>
    <row r="63" spans="1:6" x14ac:dyDescent="0.25">
      <c r="A63">
        <v>5</v>
      </c>
      <c r="B63">
        <v>8</v>
      </c>
      <c r="C63" t="s">
        <v>67</v>
      </c>
      <c r="D63" t="s">
        <v>67</v>
      </c>
      <c r="E63" t="str">
        <f t="shared" si="6"/>
        <v>public DateTime DateTime8 { get; set; }</v>
      </c>
      <c r="F63" t="str">
        <f t="shared" si="1"/>
        <v>DateTime8</v>
      </c>
    </row>
    <row r="64" spans="1:6" x14ac:dyDescent="0.25">
      <c r="A64">
        <v>5</v>
      </c>
      <c r="B64">
        <v>9</v>
      </c>
      <c r="C64" t="s">
        <v>67</v>
      </c>
      <c r="D64" t="s">
        <v>67</v>
      </c>
      <c r="E64" t="str">
        <f t="shared" si="6"/>
        <v>public DateTime DateTime9 { get; set; }</v>
      </c>
      <c r="F64" t="str">
        <f t="shared" si="1"/>
        <v>DateTime9</v>
      </c>
    </row>
    <row r="65" spans="1:6" x14ac:dyDescent="0.25">
      <c r="A65">
        <v>5</v>
      </c>
      <c r="B65">
        <v>10</v>
      </c>
      <c r="C65" t="s">
        <v>67</v>
      </c>
      <c r="D65" t="s">
        <v>67</v>
      </c>
      <c r="E65" t="str">
        <f t="shared" si="6"/>
        <v>public DateTime DateTime10 { get; set; }</v>
      </c>
      <c r="F65" t="str">
        <f t="shared" si="1"/>
        <v>DateTime10</v>
      </c>
    </row>
    <row r="66" spans="1:6" x14ac:dyDescent="0.25">
      <c r="A66">
        <v>5</v>
      </c>
      <c r="B66">
        <v>11</v>
      </c>
      <c r="C66" t="s">
        <v>67</v>
      </c>
      <c r="D66" t="s">
        <v>67</v>
      </c>
      <c r="E66" t="str">
        <f>"public " &amp; D66 &amp; " " &amp;  C66 &amp;B66  &amp;" { get; set; }"</f>
        <v>public DateTime DateTime11 { get; set; }</v>
      </c>
      <c r="F66" t="str">
        <f>C66 &amp;B66</f>
        <v>DateTime11</v>
      </c>
    </row>
    <row r="67" spans="1:6" x14ac:dyDescent="0.25">
      <c r="A67">
        <v>5</v>
      </c>
      <c r="B67">
        <v>12</v>
      </c>
      <c r="C67" t="s">
        <v>67</v>
      </c>
      <c r="D67" t="s">
        <v>67</v>
      </c>
      <c r="E67" t="str">
        <f>"public " &amp; D67 &amp; " " &amp;  C67 &amp;B67  &amp;" { get; set; }"</f>
        <v>public DateTime DateTime12 { get; set; }</v>
      </c>
      <c r="F67" t="str">
        <f>C67 &amp;B67</f>
        <v>DateTime12</v>
      </c>
    </row>
    <row r="68" spans="1:6" x14ac:dyDescent="0.25">
      <c r="A68">
        <v>5</v>
      </c>
      <c r="B68">
        <v>13</v>
      </c>
      <c r="C68" t="s">
        <v>67</v>
      </c>
      <c r="D68" t="s">
        <v>67</v>
      </c>
      <c r="E68" t="str">
        <f>"public " &amp; D68 &amp; " " &amp;  C68 &amp;B68  &amp;" { get; set; }"</f>
        <v>public DateTime DateTime13 { get; set; }</v>
      </c>
      <c r="F68" t="str">
        <f>C68 &amp;B68</f>
        <v>DateTime13</v>
      </c>
    </row>
    <row r="69" spans="1:6" x14ac:dyDescent="0.25">
      <c r="A69">
        <v>5</v>
      </c>
      <c r="B69">
        <v>14</v>
      </c>
      <c r="C69" t="s">
        <v>67</v>
      </c>
      <c r="D69" t="s">
        <v>67</v>
      </c>
      <c r="E69" t="str">
        <f>"public " &amp; D69 &amp; " " &amp;  C69 &amp;B69  &amp;" { get; set; }"</f>
        <v>public DateTime DateTime14 { get; set; }</v>
      </c>
      <c r="F69" t="str">
        <f>C69 &amp;B69</f>
        <v>DateTime14</v>
      </c>
    </row>
    <row r="70" spans="1:6" x14ac:dyDescent="0.25">
      <c r="A70">
        <v>5</v>
      </c>
      <c r="B70">
        <v>15</v>
      </c>
      <c r="C70" t="s">
        <v>67</v>
      </c>
      <c r="D70" t="s">
        <v>67</v>
      </c>
      <c r="E70" t="str">
        <f>"public " &amp; D70 &amp; " " &amp;  C70 &amp;B70  &amp;" { get; set; }"</f>
        <v>public DateTime DateTime15 { get; set; }</v>
      </c>
      <c r="F70" t="str">
        <f>C70 &amp;B70</f>
        <v>DateTime15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2"/>
  <sheetViews>
    <sheetView zoomScale="90" zoomScaleNormal="90" workbookViewId="0">
      <selection activeCell="E18" sqref="E18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459</v>
      </c>
      <c r="D2" s="30"/>
    </row>
    <row r="3" spans="1:12" x14ac:dyDescent="0.25">
      <c r="B3" s="14" t="s">
        <v>14</v>
      </c>
      <c r="C3" s="30" t="s">
        <v>460</v>
      </c>
      <c r="D3" s="30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0" t="s">
        <v>247</v>
      </c>
      <c r="D4" s="30"/>
      <c r="E4" s="14" t="s">
        <v>40</v>
      </c>
      <c r="F4" s="27">
        <f>B10</f>
        <v>0</v>
      </c>
      <c r="I4" s="14" t="s">
        <v>138</v>
      </c>
      <c r="J4" s="27" t="s">
        <v>141</v>
      </c>
    </row>
    <row r="5" spans="1:12" x14ac:dyDescent="0.25">
      <c r="B5" s="14" t="s">
        <v>34</v>
      </c>
      <c r="C5" s="32" t="s">
        <v>250</v>
      </c>
      <c r="D5" s="33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461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462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463</v>
      </c>
    </row>
    <row r="10" spans="1:12" ht="15.75" customHeight="1" x14ac:dyDescent="0.25">
      <c r="I10" t="s">
        <v>37</v>
      </c>
      <c r="J10" s="29" t="s">
        <v>464</v>
      </c>
    </row>
    <row r="11" spans="1:12" x14ac:dyDescent="0.25">
      <c r="I11" t="s">
        <v>37</v>
      </c>
      <c r="J11" s="29" t="s">
        <v>465</v>
      </c>
    </row>
    <row r="12" spans="1:12" x14ac:dyDescent="0.25">
      <c r="I12" t="s">
        <v>37</v>
      </c>
      <c r="J12" s="29" t="s">
        <v>466</v>
      </c>
    </row>
    <row r="13" spans="1:12" x14ac:dyDescent="0.25">
      <c r="I13" t="s">
        <v>37</v>
      </c>
      <c r="J13" s="29" t="s">
        <v>467</v>
      </c>
    </row>
    <row r="14" spans="1:12" x14ac:dyDescent="0.25">
      <c r="I14" t="s">
        <v>37</v>
      </c>
      <c r="J14" s="29" t="s">
        <v>468</v>
      </c>
    </row>
    <row r="15" spans="1:12" x14ac:dyDescent="0.25">
      <c r="I15" t="s">
        <v>37</v>
      </c>
      <c r="J15" s="29" t="s">
        <v>469</v>
      </c>
    </row>
    <row r="16" spans="1:12" x14ac:dyDescent="0.25">
      <c r="I16" t="s">
        <v>37</v>
      </c>
      <c r="J16" s="29" t="s">
        <v>470</v>
      </c>
    </row>
    <row r="17" spans="9:10" x14ac:dyDescent="0.25">
      <c r="I17" t="s">
        <v>37</v>
      </c>
      <c r="J17" s="29" t="s">
        <v>471</v>
      </c>
    </row>
    <row r="18" spans="9:10" x14ac:dyDescent="0.25">
      <c r="I18" t="s">
        <v>37</v>
      </c>
      <c r="J18" s="29" t="s">
        <v>472</v>
      </c>
    </row>
    <row r="19" spans="9:10" x14ac:dyDescent="0.25">
      <c r="I19" t="s">
        <v>37</v>
      </c>
      <c r="J19" s="29" t="s">
        <v>473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tabSelected="1" zoomScale="90" zoomScaleNormal="90" workbookViewId="0">
      <selection activeCell="C21" sqref="C21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0" t="s">
        <v>489</v>
      </c>
      <c r="D2" s="30"/>
    </row>
    <row r="3" spans="1:12" x14ac:dyDescent="0.25">
      <c r="B3" s="14" t="s">
        <v>14</v>
      </c>
      <c r="C3" s="30" t="s">
        <v>493</v>
      </c>
      <c r="D3" s="30"/>
      <c r="F3" s="28" t="s">
        <v>249</v>
      </c>
      <c r="I3" s="14" t="s">
        <v>139</v>
      </c>
      <c r="J3" s="28"/>
    </row>
    <row r="4" spans="1:12" x14ac:dyDescent="0.25">
      <c r="B4" s="14" t="s">
        <v>31</v>
      </c>
      <c r="C4" s="30" t="s">
        <v>247</v>
      </c>
      <c r="D4" s="30"/>
      <c r="E4" s="14" t="s">
        <v>40</v>
      </c>
      <c r="F4" s="28" t="str">
        <f>B10</f>
        <v>FileName</v>
      </c>
      <c r="I4" s="14" t="s">
        <v>138</v>
      </c>
      <c r="J4" s="28" t="s">
        <v>141</v>
      </c>
    </row>
    <row r="5" spans="1:12" x14ac:dyDescent="0.25">
      <c r="B5" s="14" t="s">
        <v>34</v>
      </c>
      <c r="C5" s="32" t="s">
        <v>250</v>
      </c>
      <c r="D5" s="33"/>
      <c r="E5" s="14" t="s">
        <v>35</v>
      </c>
      <c r="G5" s="14" t="s">
        <v>36</v>
      </c>
      <c r="H5" s="28" t="s">
        <v>248</v>
      </c>
      <c r="I5" s="14" t="s">
        <v>136</v>
      </c>
      <c r="K5" s="28"/>
    </row>
    <row r="6" spans="1:12" x14ac:dyDescent="0.25">
      <c r="B6" s="13"/>
      <c r="H6" s="28"/>
      <c r="I6" s="14" t="s">
        <v>37</v>
      </c>
      <c r="J6" s="14" t="s">
        <v>38</v>
      </c>
    </row>
    <row r="7" spans="1:12" ht="15.75" thickBot="1" x14ac:dyDescent="0.3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446</v>
      </c>
    </row>
    <row r="8" spans="1:12" ht="15.75" thickBot="1" x14ac:dyDescent="0.3">
      <c r="B8" s="34" t="s">
        <v>0</v>
      </c>
      <c r="C8" t="s">
        <v>134</v>
      </c>
      <c r="E8" s="34" t="s">
        <v>0</v>
      </c>
      <c r="F8" t="s">
        <v>71</v>
      </c>
      <c r="I8" t="s">
        <v>37</v>
      </c>
      <c r="J8" s="29" t="s">
        <v>447</v>
      </c>
    </row>
    <row r="9" spans="1:12" ht="15.75" thickBot="1" x14ac:dyDescent="0.3">
      <c r="B9" s="34" t="s">
        <v>485</v>
      </c>
      <c r="C9" t="s">
        <v>134</v>
      </c>
      <c r="D9" t="s">
        <v>30</v>
      </c>
      <c r="E9" s="34" t="s">
        <v>485</v>
      </c>
      <c r="F9" t="s">
        <v>71</v>
      </c>
      <c r="I9" t="s">
        <v>37</v>
      </c>
      <c r="J9" s="29" t="s">
        <v>448</v>
      </c>
    </row>
    <row r="10" spans="1:12" ht="15.75" customHeight="1" thickBot="1" x14ac:dyDescent="0.3">
      <c r="B10" s="34" t="s">
        <v>486</v>
      </c>
      <c r="C10" t="s">
        <v>8</v>
      </c>
      <c r="D10" t="s">
        <v>30</v>
      </c>
      <c r="E10" s="34" t="s">
        <v>486</v>
      </c>
      <c r="F10" t="s">
        <v>8</v>
      </c>
      <c r="I10" t="s">
        <v>37</v>
      </c>
      <c r="J10" s="29" t="s">
        <v>449</v>
      </c>
    </row>
    <row r="11" spans="1:12" ht="15.75" thickBot="1" x14ac:dyDescent="0.3">
      <c r="B11" s="34" t="s">
        <v>487</v>
      </c>
      <c r="C11" t="s">
        <v>8</v>
      </c>
      <c r="E11" s="34" t="s">
        <v>487</v>
      </c>
      <c r="F11" t="s">
        <v>8</v>
      </c>
      <c r="I11" t="s">
        <v>37</v>
      </c>
      <c r="J11" s="29" t="s">
        <v>450</v>
      </c>
    </row>
    <row r="12" spans="1:12" ht="15.75" thickBot="1" x14ac:dyDescent="0.3">
      <c r="B12" s="34" t="s">
        <v>230</v>
      </c>
      <c r="C12" t="s">
        <v>8</v>
      </c>
      <c r="E12" s="34" t="s">
        <v>230</v>
      </c>
      <c r="F12" t="s">
        <v>8</v>
      </c>
      <c r="I12" t="s">
        <v>37</v>
      </c>
      <c r="J12" s="29" t="s">
        <v>451</v>
      </c>
    </row>
    <row r="13" spans="1:12" ht="15.75" thickBot="1" x14ac:dyDescent="0.3">
      <c r="B13" s="34" t="s">
        <v>231</v>
      </c>
      <c r="C13" t="s">
        <v>8</v>
      </c>
      <c r="E13" s="34" t="s">
        <v>231</v>
      </c>
      <c r="F13" t="s">
        <v>8</v>
      </c>
      <c r="I13" t="s">
        <v>37</v>
      </c>
      <c r="J13" s="29" t="s">
        <v>452</v>
      </c>
    </row>
    <row r="14" spans="1:12" ht="15.75" thickBot="1" x14ac:dyDescent="0.3">
      <c r="B14" s="34" t="s">
        <v>232</v>
      </c>
      <c r="C14" t="s">
        <v>8</v>
      </c>
      <c r="E14" s="34" t="s">
        <v>232</v>
      </c>
      <c r="F14" t="s">
        <v>8</v>
      </c>
      <c r="I14" t="s">
        <v>37</v>
      </c>
      <c r="J14" s="29" t="s">
        <v>453</v>
      </c>
    </row>
    <row r="15" spans="1:12" ht="15.75" thickBot="1" x14ac:dyDescent="0.3">
      <c r="B15" s="34" t="s">
        <v>233</v>
      </c>
      <c r="C15" t="s">
        <v>8</v>
      </c>
      <c r="E15" s="34" t="s">
        <v>233</v>
      </c>
      <c r="F15" t="s">
        <v>8</v>
      </c>
      <c r="I15" t="s">
        <v>37</v>
      </c>
      <c r="J15" s="29" t="s">
        <v>454</v>
      </c>
    </row>
    <row r="16" spans="1:12" ht="15.75" thickBot="1" x14ac:dyDescent="0.3">
      <c r="B16" s="34" t="s">
        <v>488</v>
      </c>
      <c r="C16" t="s">
        <v>8</v>
      </c>
      <c r="E16" s="34" t="s">
        <v>488</v>
      </c>
      <c r="F16" t="s">
        <v>8</v>
      </c>
      <c r="I16" t="s">
        <v>37</v>
      </c>
      <c r="J16" s="29" t="s">
        <v>455</v>
      </c>
    </row>
    <row r="17" spans="9:10" x14ac:dyDescent="0.25">
      <c r="I17" t="s">
        <v>37</v>
      </c>
      <c r="J17" s="29" t="s">
        <v>456</v>
      </c>
    </row>
    <row r="18" spans="9:10" x14ac:dyDescent="0.25">
      <c r="I18" t="s">
        <v>37</v>
      </c>
      <c r="J18" s="29" t="s">
        <v>457</v>
      </c>
    </row>
    <row r="19" spans="9:10" x14ac:dyDescent="0.25">
      <c r="I19" t="s">
        <v>37</v>
      </c>
      <c r="J19" s="29" t="s">
        <v>458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>
      <selection activeCell="O18" sqref="O18"/>
    </sheetView>
  </sheetViews>
  <sheetFormatPr defaultRowHeight="15" x14ac:dyDescent="0.25"/>
  <cols>
    <col min="1" max="1" width="17.5703125" customWidth="1"/>
    <col min="2" max="2" width="26.42578125" bestFit="1" customWidth="1"/>
    <col min="3" max="3" width="25.5703125" bestFit="1" customWidth="1"/>
  </cols>
  <sheetData>
    <row r="1" spans="1:3" x14ac:dyDescent="0.25">
      <c r="A1" t="s">
        <v>474</v>
      </c>
      <c r="B1" t="str">
        <f xml:space="preserve"> A1 &amp; " : string = '';"</f>
        <v>ActionId : string = '';</v>
      </c>
      <c r="C1" t="str">
        <f t="shared" ref="C1:C11" si="0" xml:space="preserve"> A1 &amp; " : string "</f>
        <v xml:space="preserve">ActionId : string </v>
      </c>
    </row>
    <row r="2" spans="1:3" x14ac:dyDescent="0.25">
      <c r="A2" t="s">
        <v>475</v>
      </c>
      <c r="B2" t="str">
        <f t="shared" ref="B2:B11" si="1" xml:space="preserve"> A2 &amp; " : string = '';"</f>
        <v>Parm1 : string = '';</v>
      </c>
      <c r="C2" t="str">
        <f t="shared" si="0"/>
        <v xml:space="preserve">Parm1 : string </v>
      </c>
    </row>
    <row r="3" spans="1:3" x14ac:dyDescent="0.25">
      <c r="A3" t="s">
        <v>476</v>
      </c>
      <c r="B3" t="str">
        <f t="shared" si="1"/>
        <v>Parm2 : string = '';</v>
      </c>
      <c r="C3" t="str">
        <f t="shared" si="0"/>
        <v xml:space="preserve">Parm2 : string </v>
      </c>
    </row>
    <row r="4" spans="1:3" x14ac:dyDescent="0.25">
      <c r="A4" t="s">
        <v>477</v>
      </c>
      <c r="B4" t="str">
        <f t="shared" si="1"/>
        <v>Parm3 : string = '';</v>
      </c>
      <c r="C4" t="str">
        <f t="shared" si="0"/>
        <v xml:space="preserve">Parm3 : string </v>
      </c>
    </row>
    <row r="5" spans="1:3" x14ac:dyDescent="0.25">
      <c r="A5" t="s">
        <v>478</v>
      </c>
      <c r="B5" t="str">
        <f t="shared" si="1"/>
        <v>Parm4 : string = '';</v>
      </c>
      <c r="C5" t="str">
        <f t="shared" si="0"/>
        <v xml:space="preserve">Parm4 : string </v>
      </c>
    </row>
    <row r="6" spans="1:3" x14ac:dyDescent="0.25">
      <c r="A6" t="s">
        <v>479</v>
      </c>
      <c r="B6" t="str">
        <f t="shared" si="1"/>
        <v>Parm5 : string = '';</v>
      </c>
      <c r="C6" t="str">
        <f t="shared" si="0"/>
        <v xml:space="preserve">Parm5 : string </v>
      </c>
    </row>
    <row r="7" spans="1:3" x14ac:dyDescent="0.25">
      <c r="A7" t="s">
        <v>480</v>
      </c>
      <c r="B7" t="str">
        <f t="shared" si="1"/>
        <v>Parm6 : string = '';</v>
      </c>
      <c r="C7" t="str">
        <f t="shared" si="0"/>
        <v xml:space="preserve">Parm6 : string </v>
      </c>
    </row>
    <row r="8" spans="1:3" x14ac:dyDescent="0.25">
      <c r="A8" t="s">
        <v>481</v>
      </c>
      <c r="B8" t="str">
        <f t="shared" si="1"/>
        <v>Parm7 : string = '';</v>
      </c>
      <c r="C8" t="str">
        <f t="shared" si="0"/>
        <v xml:space="preserve">Parm7 : string </v>
      </c>
    </row>
    <row r="9" spans="1:3" x14ac:dyDescent="0.25">
      <c r="A9" t="s">
        <v>482</v>
      </c>
      <c r="B9" t="str">
        <f t="shared" si="1"/>
        <v>Parm8 : string = '';</v>
      </c>
      <c r="C9" t="str">
        <f t="shared" si="0"/>
        <v xml:space="preserve">Parm8 : string </v>
      </c>
    </row>
    <row r="10" spans="1:3" x14ac:dyDescent="0.25">
      <c r="A10" t="s">
        <v>483</v>
      </c>
      <c r="B10" t="str">
        <f t="shared" si="1"/>
        <v>Parm9 : string = '';</v>
      </c>
      <c r="C10" t="str">
        <f t="shared" si="0"/>
        <v xml:space="preserve">Parm9 : string </v>
      </c>
    </row>
    <row r="11" spans="1:3" x14ac:dyDescent="0.25">
      <c r="A11" t="s">
        <v>484</v>
      </c>
      <c r="B11" t="str">
        <f t="shared" si="1"/>
        <v>Parm10  : string = '';</v>
      </c>
      <c r="C11" t="str">
        <f t="shared" si="0"/>
        <v xml:space="preserve">Parm10  : string 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Category</vt:lpstr>
      <vt:lpstr>page</vt:lpstr>
      <vt:lpstr>TestApp</vt:lpstr>
      <vt:lpstr>UserSupplier</vt:lpstr>
      <vt:lpstr>TimeTable</vt:lpstr>
      <vt:lpstr>OrderMaster</vt:lpstr>
      <vt:lpstr>OrderTransactions</vt:lpstr>
      <vt:lpstr>OrderAttachments</vt:lpstr>
      <vt:lpstr>PagePhotos</vt:lpstr>
      <vt:lpstr>StockCat</vt:lpstr>
      <vt:lpstr>StockManagemnt</vt:lpstr>
      <vt:lpstr>PageTag</vt:lpstr>
      <vt:lpstr>PageCategory</vt:lpstr>
      <vt:lpstr>SitePage</vt:lpstr>
      <vt:lpstr>AppUserRoleMaster</vt:lpstr>
      <vt:lpstr>AppUserRole</vt:lpstr>
      <vt:lpstr>AppUserAccess</vt:lpstr>
      <vt:lpstr>AppTableMaster</vt:lpstr>
      <vt:lpstr>ColumnMaster</vt:lpstr>
      <vt:lpstr>AppTextColData</vt:lpstr>
      <vt:lpstr>AppStatusList</vt:lpstr>
      <vt:lpstr>AppHistory</vt:lpstr>
      <vt:lpstr>AppConfigType</vt:lpstr>
      <vt:lpstr>AppConfig</vt:lpstr>
      <vt:lpstr>AppAction</vt:lpstr>
      <vt:lpstr>Sheet2</vt:lpstr>
      <vt:lpstr>AppDataTable</vt:lpstr>
      <vt:lpstr>AppFlow</vt:lpstr>
      <vt:lpstr>AppAttachment</vt:lpstr>
      <vt:lpstr>Sheet14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Shaijukumar Kappillil Balakrishnan</cp:lastModifiedBy>
  <dcterms:created xsi:type="dcterms:W3CDTF">2020-04-21T06:12:40Z</dcterms:created>
  <dcterms:modified xsi:type="dcterms:W3CDTF">2021-06-17T03:33:28Z</dcterms:modified>
</cp:coreProperties>
</file>